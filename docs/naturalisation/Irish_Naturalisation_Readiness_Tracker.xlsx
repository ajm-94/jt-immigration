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Start here" sheetId="1" r:id="rId1"/>
    <sheet name="Dashboard" sheetId="2" r:id="rId2"/>
    <sheet name="Identity" sheetId="3" r:id="rId3"/>
    <sheet name="Residence" sheetId="4" r:id="rId4"/>
    <sheet name="Documents" sheetId="5" r:id="rId5"/>
    <sheet name="Extra requests" sheetId="6" r:id="rId6"/>
    <sheet name="Sources" sheetId="7" r:id="rId7"/>
    <sheet name="Lists" sheetId="8" state="hidden" r:id="rId8"/>
  </sheets>
  <definedNames>
    <definedName name="_xlnm._FilterDatabase" localSheetId="4" hidden="1">Documents!$A$5:$I$33</definedName>
    <definedName name="_xlnm._FilterDatabase" localSheetId="3" hidden="1">Residence!$A$21:$K$39</definedName>
    <definedName name="_xlnm.Print_Area" localSheetId="1">Dashboard!$A$1:$K$32</definedName>
    <definedName name="_xlnm.Print_Area" localSheetId="4">Documents!$A$1:$I$33</definedName>
    <definedName name="_xlnm.Print_Area" localSheetId="5">'Extra requests'!$A$1:$G$15</definedName>
    <definedName name="_xlnm.Print_Area" localSheetId="2">Identity!$A$1:$K$21</definedName>
    <definedName name="_xlnm.Print_Area" localSheetId="3">Residence!$A$1:$K$44</definedName>
    <definedName name="_xlnm.Print_Area" localSheetId="0">'Start here'!$A$1:$K$45</definedName>
    <definedName name="_xlnm.Print_Titles" localSheetId="4">Documents!$5:$5</definedName>
    <definedName name="_xlnm.Print_Titles" localSheetId="3">Residence!$21:$21</definedName>
    <definedName name="ResidenceTypes">'Lists'!$A$6:$A$16</definedName>
  </definedNames>
  <calcPr calcId="124519" fullCalcOnLoad="1"/>
</workbook>
</file>

<file path=xl/comments1.xml><?xml version="1.0" encoding="utf-8"?>
<comments xmlns="http://schemas.openxmlformats.org/spreadsheetml/2006/main">
  <authors>
    <author/>
  </authors>
  <commentList>
    <comment ref="B6" authorId="0">
      <text>
        <r>
          <rPr>
            <sz val="8"/>
            <color indexed="81"/>
            <rFont val="Tahoma"/>
            <family val="2"/>
          </rPr>
          <t>Complete each section; sign/witness wherever instructed.</t>
        </r>
      </text>
    </comment>
    <comment ref="B7" authorId="0">
      <text>
        <r>
          <rPr>
            <sz val="8"/>
            <color indexed="81"/>
            <rFont val="Tahoma"/>
            <family val="2"/>
          </rPr>
          <t>Use the civil certificate; an affidavit is exceptional, not an automatic substitute.</t>
        </r>
      </text>
    </comment>
    <comment ref="B8" authorId="0">
      <text>
        <r>
          <rPr>
            <sz val="8"/>
            <color indexed="81"/>
            <rFont val="Tahoma"/>
            <family val="2"/>
          </rPr>
          <t>Same certifier signs the colour passport copy and form. If no passport is used, confirm alternative identity procedure.</t>
        </r>
      </text>
    </comment>
    <comment ref="B9" authorId="0">
      <text>
        <r>
          <rPr>
            <sz val="8"/>
            <color indexed="81"/>
            <rFont val="Tahoma"/>
            <family val="2"/>
          </rPr>
          <t>Yes if required for your status; otherwise choose No and record why.</t>
        </r>
      </text>
    </comment>
    <comment ref="B10" authorId="0">
      <text>
        <r>
          <rPr>
            <sz val="8"/>
            <color indexed="81"/>
            <rFont val="Tahoma"/>
            <family val="2"/>
          </rPr>
          <t>Upload what the portal requires; keep old IRP/GNIB cards, letters and stamps available.</t>
        </r>
      </text>
    </comment>
    <comment ref="B11" authorId="0">
      <text>
        <r>
          <rPr>
            <sz val="8"/>
            <color indexed="81"/>
            <rFont val="Tahoma"/>
            <family val="2"/>
          </rPr>
          <t>Use if applicable to your nationality/status; documentary residence proof is still needed.</t>
        </r>
      </text>
    </comment>
    <comment ref="B12" authorId="0">
      <text>
        <r>
          <rPr>
            <sz val="8"/>
            <color indexed="81"/>
            <rFont val="Tahoma"/>
            <family val="2"/>
          </rPr>
          <t>Marriage certificate, deed poll or other legal record where names differ.</t>
        </r>
      </text>
    </comment>
    <comment ref="B13" authorId="0">
      <text>
        <r>
          <rPr>
            <sz val="8"/>
            <color indexed="81"/>
            <rFont val="Tahoma"/>
            <family val="2"/>
          </rPr>
          <t>If relying on an exemption, mark No and state its basis.</t>
        </r>
      </text>
    </comment>
    <comment ref="B14" authorId="0">
      <text>
        <r>
          <rPr>
            <sz val="8"/>
            <color indexed="81"/>
            <rFont val="Tahoma"/>
            <family val="2"/>
          </rPr>
          <t>Check the actual application; do not assume paper-form photo rules apply online.</t>
        </r>
      </text>
    </comment>
    <comment ref="B15" authorId="0">
      <text>
        <r>
          <rPr>
            <sz val="8"/>
            <color indexed="81"/>
            <rFont val="Tahoma"/>
            <family val="2"/>
          </rPr>
          <t>Needed if requesting the additional absence allowance or explaining unusual periods.</t>
        </r>
      </text>
    </comment>
    <comment ref="B16" authorId="0">
      <text>
        <r>
          <rPr>
            <sz val="8"/>
            <color indexed="81"/>
            <rFont val="Tahoma"/>
            <family val="2"/>
          </rPr>
          <t>Only where a required record cannot reasonably be obtained; follow ISD instructions.</t>
        </r>
      </text>
    </comment>
    <comment ref="B17" authorId="0">
      <text>
        <r>
          <rPr>
            <sz val="8"/>
            <color indexed="81"/>
            <rFont val="Tahoma"/>
            <family val="2"/>
          </rPr>
          <t>Supply where the application asks about convictions, proceedings or other matters.</t>
        </r>
      </text>
    </comment>
    <comment ref="B18" authorId="0">
      <text>
        <r>
          <rPr>
            <sz val="8"/>
            <color indexed="81"/>
            <rFont val="Tahoma"/>
            <family val="2"/>
          </rPr>
          <t>No blanket requirement assumed for all accounts or a tax-clearance certificate.</t>
        </r>
      </text>
    </comment>
    <comment ref="B19" authorId="0">
      <text>
        <r>
          <rPr>
            <sz val="8"/>
            <color indexed="81"/>
            <rFont val="Tahoma"/>
            <family val="2"/>
          </rPr>
          <t>Relevant law-enforcement certificate; Northern Ireland applicants should check instructions.</t>
        </r>
      </text>
    </comment>
    <comment ref="B20" authorId="0">
      <text>
        <r>
          <rPr>
            <sz val="8"/>
            <color indexed="81"/>
            <rFont val="Tahoma"/>
            <family val="2"/>
          </rPr>
          <t>€175; online payment for online applications; draft as instructed for paper applications.</t>
        </r>
      </text>
    </comment>
    <comment ref="B21" authorId="0">
      <text>
        <r>
          <rPr>
            <sz val="8"/>
            <color indexed="81"/>
            <rFont val="Tahoma"/>
            <family val="2"/>
          </rPr>
          <t>Save a copy before final submission and retain payment confirmation.</t>
        </r>
      </text>
    </comment>
    <comment ref="B22" authorId="0">
      <text>
        <r>
          <rPr>
            <sz val="8"/>
            <color indexed="81"/>
            <rFont val="Tahoma"/>
            <family val="2"/>
          </rPr>
          <t>Check recognition in Irish law for an overseas relationship.</t>
        </r>
      </text>
    </comment>
    <comment ref="B23" authorId="0">
      <text>
        <r>
          <rPr>
            <sz val="8"/>
            <color indexed="81"/>
            <rFont val="Tahoma"/>
            <family val="2"/>
          </rPr>
          <t>Use the correct current form from ISD for your relationship.</t>
        </r>
      </text>
    </comment>
    <comment ref="B24" authorId="0">
      <text>
        <r>
          <rPr>
            <sz val="8"/>
            <color indexed="81"/>
            <rFont val="Tahoma"/>
            <family val="2"/>
          </rPr>
          <t>Irish passport, naturalisation certificate, FBR evidence or other accepted citizenship evidence.</t>
        </r>
      </text>
    </comment>
    <comment ref="B25" authorId="0">
      <text>
        <r>
          <rPr>
            <sz val="8"/>
            <color indexed="81"/>
            <rFont val="Tahoma"/>
            <family val="2"/>
          </rPr>
          <t>Use spouse/civil partner version; signed after applicant part, before authorised witness with ID.</t>
        </r>
      </text>
    </comment>
    <comment ref="B26" authorId="0">
      <text>
        <r>
          <rPr>
            <sz val="8"/>
            <color indexed="81"/>
            <rFont val="Tahoma"/>
            <family val="2"/>
          </rPr>
          <t>Three separate proofs for each partner covering the three months before applying.</t>
        </r>
      </text>
    </comment>
    <comment ref="B27" authorId="0">
      <text>
        <r>
          <rPr>
            <sz val="8"/>
            <color indexed="81"/>
            <rFont val="Tahoma"/>
            <family val="2"/>
          </rPr>
          <t>Name and same shared address must appear; check coverage of the three-month period.</t>
        </r>
      </text>
    </comment>
    <comment ref="B28" authorId="0">
      <text>
        <r>
          <rPr>
            <sz val="8"/>
            <color indexed="81"/>
            <rFont val="Tahoma"/>
            <family val="2"/>
          </rPr>
          <t>Joint records may cover both partners; reference the actual document.</t>
        </r>
      </text>
    </comment>
    <comment ref="B29" authorId="0">
      <text>
        <r>
          <rPr>
            <sz val="8"/>
            <color indexed="81"/>
            <rFont val="Tahoma"/>
            <family val="2"/>
          </rPr>
          <t>Three separate proofs for Irish partner; joint evidence can be referenced for both people.</t>
        </r>
      </text>
    </comment>
    <comment ref="B30" authorId="0">
      <text>
        <r>
          <rPr>
            <sz val="8"/>
            <color indexed="81"/>
            <rFont val="Tahoma"/>
            <family val="2"/>
          </rPr>
          <t>Name and same shared address must appear.</t>
        </r>
      </text>
    </comment>
    <comment ref="B31" authorId="0">
      <text>
        <r>
          <rPr>
            <sz val="8"/>
            <color indexed="81"/>
            <rFont val="Tahoma"/>
            <family val="2"/>
          </rPr>
          <t>Check that the three records cover the relevant three-month period.</t>
        </r>
      </text>
    </comment>
    <comment ref="B32" authorId="0">
      <text>
        <r>
          <rPr>
            <sz val="8"/>
            <color indexed="81"/>
            <rFont val="Tahoma"/>
            <family val="2"/>
          </rPr>
          <t>Only if relevant or requested.</t>
        </r>
      </text>
    </comment>
    <comment ref="B33" authorId="0">
      <text>
        <r>
          <rPr>
            <sz val="8"/>
            <color indexed="81"/>
            <rFont val="Tahoma"/>
            <family val="2"/>
          </rPr>
          <t>If relying on Northern Ireland residence, check the route-specific evidence.</t>
        </r>
      </text>
    </comment>
  </commentList>
</comments>
</file>

<file path=xl/sharedStrings.xml><?xml version="1.0" encoding="utf-8"?>
<sst xmlns="http://schemas.openxmlformats.org/spreadsheetml/2006/main" count="480" uniqueCount="204">
  <si>
    <t>START HERE</t>
  </si>
  <si>
    <t>DASHBOARD</t>
  </si>
  <si>
    <t>IDENTITY</t>
  </si>
  <si>
    <t>RESIDENCE</t>
  </si>
  <si>
    <t>DOCUMENTS</t>
  </si>
  <si>
    <t>EXTRA REQUESTS</t>
  </si>
  <si>
    <t>SOURCES</t>
  </si>
  <si>
    <t>LISTS</t>
  </si>
  <si>
    <t>Document</t>
  </si>
  <si>
    <t>Points</t>
  </si>
  <si>
    <t>Class</t>
  </si>
  <si>
    <t>Revenue Employment Detail Summary</t>
  </si>
  <si>
    <t>A</t>
  </si>
  <si>
    <t>Revenue tax record / statement</t>
  </si>
  <si>
    <t>DSP contribution / payment statement</t>
  </si>
  <si>
    <t>Qualifying bank statements</t>
  </si>
  <si>
    <t>Employer letter confirming dates</t>
  </si>
  <si>
    <t>Utility / broadband bill</t>
  </si>
  <si>
    <t>B</t>
  </si>
  <si>
    <t>Phone bill</t>
  </si>
  <si>
    <t>Tenancy agreement / tenancy letter</t>
  </si>
  <si>
    <t>Credit card statement</t>
  </si>
  <si>
    <t>Medical / hospital address letter</t>
  </si>
  <si>
    <t>School / housing authority / IPAS letter</t>
  </si>
  <si>
    <t>PURPOSE</t>
  </si>
  <si>
    <t>Tracks document preparation for either route. READY FOR SUBMISSION means the workbook checks are complete, based on your entries. It is not an ISD eligibility decision or an examination of your files.</t>
  </si>
  <si>
    <t>1 · SELECT ROUTE</t>
  </si>
  <si>
    <t>On Dashboard choose Standard adult or Irish spouse / civil partner, enter the applicant name, and review the final confirmation ticks.</t>
  </si>
  <si>
    <t>2 · TICK IDENTITY</t>
  </si>
  <si>
    <t>Use the dropdowns: ☐ = outstanding; ☑ = done. Identity points count only when Uploaded and Checked are ticked and a file reference is entered. Use only one passport category; do not count the same identity file twice.</t>
  </si>
  <si>
    <t>3 · SET RESIDENCE YEARS</t>
  </si>
  <si>
    <t>The first five or three slots activate automatically by route. Add further slots if your qualifying periods span more years. Enter distinct year/period labels on Residence. Every active slot needs an accepted A and B proof totalling 150. Scores cannot move between years.</t>
  </si>
  <si>
    <t>4 · ADD RESIDENCE EVIDENCE</t>
  </si>
  <si>
    <t>Choose an accepted type, add its unique file reference, tick Uploaded, then Checked after confirming the name, address, year and document-specific requirements. Two slots per year are provided; a bank evidence set is one scored proof, not points for every statement.</t>
  </si>
  <si>
    <t>5 · RESOLVE DOCUMENTS</t>
  </si>
  <si>
    <t>On Documents, mandatory items cannot be waived. For conditional items choose Yes or No; No requires a reason. A blank or Decide blocks readiness. A tick means actually uploaded/complete, not simply planned.</t>
  </si>
  <si>
    <t>6 · EXTRA REQUESTS</t>
  </si>
  <si>
    <t>Log any extra portal/ISD requests on Extra requests. An active row is mandatory. Unused rows remain No. Add at most ten requests in the supplied rows.</t>
  </si>
  <si>
    <t>7 · REVIEW DASHBOARD</t>
  </si>
  <si>
    <t>Every gate must show OK. Tick final confirmations only after checking them. Save a copy before submission. Complete fee/payment as the portal instructs; the tracker cannot pay or submit.</t>
  </si>
  <si>
    <t>SCORING CHOICE</t>
  </si>
  <si>
    <t>ISD public pages differ in describing the residence mix. This workbook uses one accepted 100-point A plus one accepted 50-point B per active year, which satisfies both published descriptions. It does not promise that 6 or 10 individual files are always sufficient.</t>
  </si>
  <si>
    <t>CHECKED MEANS</t>
  </si>
  <si>
    <t>You have inspected the document, its dates, name/address, readability, required certification/translation, and any bank statement conditions. This workbook does not read, upload, certify or authenticate files. File references are text labels or paths, not attachments.</t>
  </si>
  <si>
    <t>EXCEPTIONS</t>
  </si>
  <si>
    <t>Refugees, alternative identity cases and exceptional affidavits may need ISD-specific instructions. This conservative points template intentionally stays NOT READY if the ordinary scorecard cannot be met. Do not fabricate points to bypass it.</t>
  </si>
  <si>
    <t>COMPATIBILITY</t>
  </si>
  <si>
    <t>Macro-free .xlsx. Use Excel or compatible spreadsheet software with automatic calculation. Ticks are dropdown values for broad compatibility, not clickable form controls. Blue cells are editable; grey cells contain protected formulas. Protection prevents accidental edits; it is not security.</t>
  </si>
  <si>
    <t>REVIEW DATE</t>
  </si>
  <si>
    <t>Public sources checked 15 October 2026. Recheck Sources and your live personalised portal checklist before lodging. No blanket all-bank-accounts or tax-clearance requirement is assumed.</t>
  </si>
  <si>
    <t>Route</t>
  </si>
  <si>
    <t>Standard adult</t>
  </si>
  <si>
    <t>Applicant name</t>
  </si>
  <si>
    <t>Minimum qualifying years</t>
  </si>
  <si>
    <t>Overall result</t>
  </si>
  <si>
    <t>Readiness gate</t>
  </si>
  <si>
    <t>Status</t>
  </si>
  <si>
    <t>Detail</t>
  </si>
  <si>
    <t>Applicant / route entered</t>
  </si>
  <si>
    <t>Identity score and duplicate checks</t>
  </si>
  <si>
    <t>All residence years complete</t>
  </si>
  <si>
    <t>Required / conditional documents</t>
  </si>
  <si>
    <t>Extra portal / ISD requests</t>
  </si>
  <si>
    <t>Final confirmations</t>
  </si>
  <si>
    <t>Final confirmations — tick only after review</t>
  </si>
  <si>
    <t>Confirmed</t>
  </si>
  <si>
    <t>Eligibility and qualifying permission periods checked for the chosen route.</t>
  </si>
  <si>
    <t>☐</t>
  </si>
  <si>
    <t>Absence record checked against the applicable territory and 70/30-day rule.</t>
  </si>
  <si>
    <t>All supporting evidence checked, including certification and translation/exemption.</t>
  </si>
  <si>
    <t>Live personalised portal checklist reviewed; all extra requirements logged.</t>
  </si>
  <si>
    <t>Application answers and required disclosures are complete and accurate.</t>
  </si>
  <si>
    <t>No document/year double counting; all required evidence actually uploaded.</t>
  </si>
  <si>
    <t>Conditional No decisions and identity/immigration exceptions checked.</t>
  </si>
  <si>
    <t>Final application, declarations and payment reviewed; copy saved.</t>
  </si>
  <si>
    <t>READY is an administrative preparation status based on your confirmations. ISD may request further documents. It does not establish legal eligibility or guarantee approval. No total score is pooled across identity and residence years.</t>
  </si>
  <si>
    <t>Tick only the identity documents used. Points require Uploaded + Checked + file reference. Current passport alone meets 150. Birth certificate and certification forms are tracked separately on Documents.</t>
  </si>
  <si>
    <t>ID</t>
  </si>
  <si>
    <t>Identity proof</t>
  </si>
  <si>
    <t>Potential points</t>
  </si>
  <si>
    <t>Uploaded</t>
  </si>
  <si>
    <t>Checked</t>
  </si>
  <si>
    <t>Group</t>
  </si>
  <si>
    <t>File reference</t>
  </si>
  <si>
    <t>Notes</t>
  </si>
  <si>
    <t>Counted points</t>
  </si>
  <si>
    <t>ID1</t>
  </si>
  <si>
    <t>Current valid national passport</t>
  </si>
  <si>
    <t>Passport</t>
  </si>
  <si>
    <t>ID2</t>
  </si>
  <si>
    <t>Passport expired less than 365 days</t>
  </si>
  <si>
    <t>ID3</t>
  </si>
  <si>
    <t>Passport expired more than 365 days</t>
  </si>
  <si>
    <t>ID4</t>
  </si>
  <si>
    <t>Certified IRP</t>
  </si>
  <si>
    <t>IRP</t>
  </si>
  <si>
    <t>ID5</t>
  </si>
  <si>
    <t>Certified compliant national ID</t>
  </si>
  <si>
    <t>ID6</t>
  </si>
  <si>
    <t>Certificate of Identity / Red Cross / UNHCR ID</t>
  </si>
  <si>
    <t>ID7</t>
  </si>
  <si>
    <t>Public Services Card</t>
  </si>
  <si>
    <t>ID8</t>
  </si>
  <si>
    <t>PPS letter</t>
  </si>
  <si>
    <t>ID9</t>
  </si>
  <si>
    <t>Current photo driving licence</t>
  </si>
  <si>
    <t>Identity total</t>
  </si>
  <si>
    <t>Integrity check</t>
  </si>
  <si>
    <t>Do not tick more than one passport category. Alternative documents must satisfy current ISD rules and required certification. An affidavit does not automatically earn 150 points. A document with the same file reference used twice earns no identity points.</t>
  </si>
  <si>
    <t>First 5/3 slots activate automatically. Extra slots: change Add extra year to Yes. Enter a distinct year/period label. Scroll below for two evidence rows per slot. One accepted A + B per active slot is required; do not double-count a file across years.</t>
  </si>
  <si>
    <t>Slot</t>
  </si>
  <si>
    <t>Year / claimed period</t>
  </si>
  <si>
    <t>Add extra year?</t>
  </si>
  <si>
    <t>Active?</t>
  </si>
  <si>
    <t>A points</t>
  </si>
  <si>
    <t>B points</t>
  </si>
  <si>
    <t>Total points</t>
  </si>
  <si>
    <t>Shortfall</t>
  </si>
  <si>
    <t>Year status</t>
  </si>
  <si>
    <t>Evidence rows</t>
  </si>
  <si>
    <t>No</t>
  </si>
  <si>
    <t>22–23</t>
  </si>
  <si>
    <t>24–25</t>
  </si>
  <si>
    <t>26–27</t>
  </si>
  <si>
    <t>28–29</t>
  </si>
  <si>
    <t>30–31</t>
  </si>
  <si>
    <t>32–33</t>
  </si>
  <si>
    <t>34–35</t>
  </si>
  <si>
    <t>36–37</t>
  </si>
  <si>
    <t>38–39</t>
  </si>
  <si>
    <t>Year setup</t>
  </si>
  <si>
    <t>Year / period</t>
  </si>
  <si>
    <t>Document type</t>
  </si>
  <si>
    <t>Evidence status</t>
  </si>
  <si>
    <t>Notes / bank checks</t>
  </si>
  <si>
    <t>BANK CHECK: at least 3 qualifying POS transactions per month for 3 months; ensure outlet addresses and an eligible regulated bank/credit union. DSP statement must show contributions or claims; spouse EDS and child benefit alone do not establish your residence. A bank set is one 100-point proof. Use a unique file/set reference and tick Checked only after inspecting the evidence.</t>
  </si>
  <si>
    <t>Mandatory rows cannot be waived. Conditional rows: Yes means required; No needs a reason in Notes. Decide blocks readiness. Spouse-only rows are excluded automatically on the standard route. A tick means uploaded/complete and Checked means reviewed.</t>
  </si>
  <si>
    <t>Scope</t>
  </si>
  <si>
    <t>Document / completion item</t>
  </si>
  <si>
    <t>Rule</t>
  </si>
  <si>
    <t>Applies?</t>
  </si>
  <si>
    <t>Uploaded / done</t>
  </si>
  <si>
    <t>File / record reference</t>
  </si>
  <si>
    <t>Notes / reason if No</t>
  </si>
  <si>
    <t>Both</t>
  </si>
  <si>
    <t>Completed adult application and applicant declarations</t>
  </si>
  <si>
    <t>Always</t>
  </si>
  <si>
    <t>Yes</t>
  </si>
  <si>
    <t>Certified birth certificate</t>
  </si>
  <si>
    <t>Passport Certification Form</t>
  </si>
  <si>
    <t>Current IRP, front and back</t>
  </si>
  <si>
    <t>Conditional</t>
  </si>
  <si>
    <t>Decide</t>
  </si>
  <si>
    <t>Permission history / relevant previous passports</t>
  </si>
  <si>
    <t>Residence calculator output</t>
  </si>
  <si>
    <t>Name-change evidence</t>
  </si>
  <si>
    <t>Professional translations / applicable exemption</t>
  </si>
  <si>
    <t>Photograph in requested format</t>
  </si>
  <si>
    <t>Exceptional absence explanation and evidence</t>
  </si>
  <si>
    <t>Exceptional identity / residence affidavit</t>
  </si>
  <si>
    <t>Documents supporting required legal disclosures</t>
  </si>
  <si>
    <t>Additional financial / tax records requested by ISD</t>
  </si>
  <si>
    <t>Police clearance if residing outside the State</t>
  </si>
  <si>
    <t>Application fee paid / payment step completed</t>
  </si>
  <si>
    <t>Application and payment record saved</t>
  </si>
  <si>
    <t>Spouse</t>
  </si>
  <si>
    <t>Certified marriage / civil partnership certificate</t>
  </si>
  <si>
    <t>Marriage / civil partnership certification form</t>
  </si>
  <si>
    <t>Certified evidence that partner is Irish</t>
  </si>
  <si>
    <t>Irish partner statutory declaration</t>
  </si>
  <si>
    <t>Applicant shared-address proof 1</t>
  </si>
  <si>
    <t>Applicant shared-address proof 2</t>
  </si>
  <si>
    <t>Applicant shared-address proof 3</t>
  </si>
  <si>
    <t>Irish partner shared-address proof 1</t>
  </si>
  <si>
    <t>Irish partner shared-address proof 2</t>
  </si>
  <si>
    <t>Irish partner shared-address proof 3</t>
  </si>
  <si>
    <t>Previous marriage / dissolution / death records</t>
  </si>
  <si>
    <t>Northern Ireland status / residence documents</t>
  </si>
  <si>
    <t>Use for every additional requirement in your portal or ISD correspondence. Active Yes rows must be completed. Ten spare rows. Use No only when no request applies, not to waive a mandatory request.</t>
  </si>
  <si>
    <t>Requested document / action</t>
  </si>
  <si>
    <t>File / completion reference</t>
  </si>
  <si>
    <t>Public sources reviewed 15 October 2026. This template implements the ordinary scorecard; check the live personalised portal and official forms again before submission. No automatic legal eligibility calculation is performed.</t>
  </si>
  <si>
    <t>ISD current application guide</t>
  </si>
  <si>
    <t>https://www.irishimmigration.ie/how-to-become-an-irish-citizen-guide/</t>
  </si>
  <si>
    <t>ISD identity and residence proofs</t>
  </si>
  <si>
    <t>https://www.irishimmigration.ie/how-to-become-a-citizen/become-an-irish-citizen-by-naturalisation/proofs-of-identity-and-residence/</t>
  </si>
  <si>
    <t>Passport certification form</t>
  </si>
  <si>
    <t>https://www.irishimmigration.ie/wp-content/uploads/citizenship/passport-certification-form-citz-0112026.pdf</t>
  </si>
  <si>
    <t>Marriage certification form</t>
  </si>
  <si>
    <t>https://www.irishimmigration.ie/wp-content/uploads/citizenship/marriage-certificate-certification-form-citizenship-0052026.pdf</t>
  </si>
  <si>
    <t>Spouse statutory declaration</t>
  </si>
  <si>
    <t>https://www.irishimmigration.ie/wp-content/uploads/citizenship/spousal-declaration-form-citizenship-statdec-13a2026.pdf</t>
  </si>
  <si>
    <t>Certification guidance</t>
  </si>
  <si>
    <t>https://www.irishimmigration.ie/how-to-become-a-citizen/certifying-a-document/</t>
  </si>
  <si>
    <t>Standard route: section 15</t>
  </si>
  <si>
    <t>https://revisedacts.lawreform.ie/eli/1956/act/26/section/15/revised/en/html</t>
  </si>
  <si>
    <t>Spouse route: section 15A</t>
  </si>
  <si>
    <t>https://revisedacts.lawreform.ie/eli/1956/act/26/section/15A/revised/en/html</t>
  </si>
  <si>
    <t>Absences: section 15C</t>
  </si>
  <si>
    <t>https://revisedacts.lawreform.ie/eli/1956/act/26/section/15C/revised/en/html</t>
  </si>
  <si>
    <t>Excluded residence: section 16A</t>
  </si>
  <si>
    <t>https://revisedacts.lawreform.ie/eli/1956/act/26/section/16A/revised/en/html</t>
  </si>
  <si>
    <t>ISD e-vetting guidance</t>
  </si>
  <si>
    <t>https://www.irishimmigration.ie/how-to-become-a-citizen/become-an-irish-citizen-by-naturalisation/citizenship-applicants-guide-to-an-garda-siochana-national-vetting-bureau-e-vetting/</t>
  </si>
</sst>
</file>

<file path=xl/styles.xml><?xml version="1.0" encoding="utf-8"?>
<styleSheet xmlns="http://schemas.openxmlformats.org/spreadsheetml/2006/main">
  <fonts count="9">
    <font>
      <sz val="11"/>
      <color theme="1"/>
      <name val="Calibri"/>
      <family val="2"/>
      <scheme val="minor"/>
    </font>
    <font>
      <b/>
      <sz val="22"/>
      <color rgb="FFFFFFFF"/>
      <name val="Calibri"/>
      <family val="2"/>
      <scheme val="minor"/>
    </font>
    <font>
      <b/>
      <sz val="11"/>
      <color rgb="FFFFFFFF"/>
      <name val="Calibri"/>
      <family val="2"/>
      <scheme val="minor"/>
    </font>
    <font>
      <sz val="11"/>
      <color rgb="FF526271"/>
      <name val="Calibri"/>
      <family val="2"/>
      <scheme val="minor"/>
    </font>
    <font>
      <sz val="11"/>
      <color rgb="FF164B83"/>
      <name val="Calibri"/>
      <family val="2"/>
      <scheme val="minor"/>
    </font>
    <font>
      <b/>
      <sz val="16"/>
      <color theme="1"/>
      <name val="Calibri"/>
      <family val="2"/>
      <scheme val="minor"/>
    </font>
    <font>
      <sz val="15"/>
      <color theme="1"/>
      <name val="Calibri"/>
      <family val="2"/>
      <scheme val="minor"/>
    </font>
    <font>
      <u/>
      <sz val="11"/>
      <color rgb="FF0563C1"/>
      <name val="Calibri"/>
      <family val="2"/>
      <scheme val="minor"/>
    </font>
    <font>
      <sz val="8"/>
      <color indexed="81"/>
      <name val="Tahoma"/>
      <family val="2"/>
    </font>
  </fonts>
  <fills count="6">
    <fill>
      <patternFill patternType="none"/>
    </fill>
    <fill>
      <patternFill patternType="gray125"/>
    </fill>
    <fill>
      <patternFill patternType="solid">
        <fgColor rgb="FF16324F"/>
        <bgColor indexed="64"/>
      </patternFill>
    </fill>
    <fill>
      <patternFill patternType="solid">
        <fgColor rgb="FF007F82"/>
        <bgColor indexed="64"/>
      </patternFill>
    </fill>
    <fill>
      <patternFill patternType="solid">
        <fgColor rgb="FFEAF4FF"/>
        <bgColor indexed="64"/>
      </patternFill>
    </fill>
    <fill>
      <patternFill patternType="solid">
        <fgColor rgb="FFF1F4F7"/>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BDD5EA"/>
      </left>
      <right style="thin">
        <color rgb="FFBDD5EA"/>
      </right>
      <top style="thin">
        <color rgb="FFBDD5EA"/>
      </top>
      <bottom style="thin">
        <color rgb="FFBDD5EA"/>
      </bottom>
      <diagonal/>
    </border>
    <border>
      <left style="thin">
        <color rgb="FFDCE2E7"/>
      </left>
      <right style="thin">
        <color rgb="FFDCE2E7"/>
      </right>
      <top style="thin">
        <color rgb="FFDCE2E7"/>
      </top>
      <bottom style="thin">
        <color rgb="FFDCE2E7"/>
      </bottom>
      <diagonal/>
    </border>
  </borders>
  <cellStyleXfs count="1">
    <xf numFmtId="0" fontId="0" fillId="0" borderId="0"/>
  </cellStyleXfs>
  <cellXfs count="10">
    <xf numFmtId="0" fontId="0" fillId="0" borderId="0" xfId="0"/>
    <xf numFmtId="0" fontId="1" fillId="2" borderId="0" xfId="0" applyFont="1" applyFill="1" applyAlignment="1">
      <alignment vertical="center"/>
    </xf>
    <xf numFmtId="0" fontId="2" fillId="3" borderId="1" xfId="0" applyFont="1" applyFill="1" applyBorder="1" applyAlignment="1">
      <alignment wrapText="1"/>
    </xf>
    <xf numFmtId="0" fontId="3" fillId="0" borderId="0" xfId="0" applyFont="1" applyAlignment="1">
      <alignment vertical="top" wrapText="1"/>
    </xf>
    <xf numFmtId="0" fontId="4" fillId="4" borderId="2" xfId="0" applyFont="1" applyFill="1" applyBorder="1" applyAlignment="1" applyProtection="1">
      <alignment vertical="top" wrapText="1"/>
      <protection locked="0"/>
    </xf>
    <xf numFmtId="0" fontId="0" fillId="0" borderId="3" xfId="0" applyBorder="1" applyAlignment="1">
      <alignment vertical="top" wrapText="1"/>
    </xf>
    <xf numFmtId="0" fontId="0" fillId="5" borderId="3" xfId="0" applyFill="1" applyBorder="1" applyAlignment="1">
      <alignment vertical="top" wrapText="1"/>
    </xf>
    <xf numFmtId="0" fontId="5" fillId="0" borderId="1" xfId="0" applyFont="1" applyBorder="1" applyAlignment="1">
      <alignment wrapText="1"/>
    </xf>
    <xf numFmtId="0" fontId="6" fillId="4" borderId="2" xfId="0" applyFont="1" applyFill="1" applyBorder="1" applyAlignment="1" applyProtection="1">
      <alignment horizontal="center"/>
      <protection locked="0"/>
    </xf>
    <xf numFmtId="0" fontId="7" fillId="0" borderId="0" xfId="0" applyFont="1" applyAlignment="1">
      <alignment wrapText="1"/>
    </xf>
  </cellXfs>
  <cellStyles count="1">
    <cellStyle name="Normal" xfId="0" builtinId="0"/>
  </cellStyles>
  <dxfs count="2">
    <dxf>
      <font>
        <b/>
        <color rgb="FF14633C"/>
      </font>
      <fill>
        <patternFill>
          <bgColor rgb="FFE1F1E6"/>
        </patternFill>
      </fill>
    </dxf>
    <dxf>
      <font>
        <b/>
        <color rgb="FF9C2020"/>
      </font>
      <fill>
        <patternFill>
          <bgColor rgb="FFFCE4E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irishimmigration.ie/how-to-become-an-irish-citizen-guide/" TargetMode="External"/><Relationship Id="rId2" Type="http://schemas.openxmlformats.org/officeDocument/2006/relationships/hyperlink" Target="https://www.irishimmigration.ie/how-to-become-a-citizen/become-an-irish-citizen-by-naturalisation/proofs-of-identity-and-residence/" TargetMode="External"/><Relationship Id="rId3" Type="http://schemas.openxmlformats.org/officeDocument/2006/relationships/hyperlink" Target="https://www.irishimmigration.ie/wp-content/uploads/citizenship/passport-certification-form-citz-0112026.pdf" TargetMode="External"/><Relationship Id="rId4" Type="http://schemas.openxmlformats.org/officeDocument/2006/relationships/hyperlink" Target="https://www.irishimmigration.ie/wp-content/uploads/citizenship/marriage-certificate-certification-form-citizenship-0052026.pdf" TargetMode="External"/><Relationship Id="rId5" Type="http://schemas.openxmlformats.org/officeDocument/2006/relationships/hyperlink" Target="https://www.irishimmigration.ie/wp-content/uploads/citizenship/spousal-declaration-form-citizenship-statdec-13a2026.pdf" TargetMode="External"/><Relationship Id="rId6" Type="http://schemas.openxmlformats.org/officeDocument/2006/relationships/hyperlink" Target="https://www.irishimmigration.ie/how-to-become-a-citizen/certifying-a-document/" TargetMode="External"/><Relationship Id="rId7" Type="http://schemas.openxmlformats.org/officeDocument/2006/relationships/hyperlink" Target="https://revisedacts.lawreform.ie/eli/1956/act/26/section/15/revised/en/html" TargetMode="External"/><Relationship Id="rId8" Type="http://schemas.openxmlformats.org/officeDocument/2006/relationships/hyperlink" Target="https://revisedacts.lawreform.ie/eli/1956/act/26/section/15A/revised/en/html" TargetMode="External"/><Relationship Id="rId9" Type="http://schemas.openxmlformats.org/officeDocument/2006/relationships/hyperlink" Target="https://revisedacts.lawreform.ie/eli/1956/act/26/section/15C/revised/en/html" TargetMode="External"/><Relationship Id="rId10" Type="http://schemas.openxmlformats.org/officeDocument/2006/relationships/hyperlink" Target="https://revisedacts.lawreform.ie/eli/1956/act/26/section/16A/revised/en/html" TargetMode="External"/><Relationship Id="rId11" Type="http://schemas.openxmlformats.org/officeDocument/2006/relationships/hyperlink" Target="https://www.irishimmigration.ie/how-to-become-a-citizen/become-an-irish-citizen-by-naturalisation/citizenship-applicants-guide-to-an-garda-siochana-national-vetting-bureau-e-vetting/"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K43"/>
  <sheetViews>
    <sheetView showGridLines="0" workbookViewId="0">
      <pane ySplit="5" topLeftCell="A6" activePane="bottomLeft" state="frozen"/>
      <selection pane="bottomLeft"/>
    </sheetView>
  </sheetViews>
  <sheetFormatPr defaultRowHeight="27" customHeight="1"/>
  <cols>
    <col min="1" max="1" width="5.7109375" customWidth="1"/>
    <col min="2" max="11" width="12.7109375" customWidth="1"/>
  </cols>
  <sheetData>
    <row r="1" spans="1:11" ht="24" customHeight="1">
      <c r="A1" s="1" t="s">
        <v>0</v>
      </c>
      <c r="B1" s="1"/>
      <c r="C1" s="1"/>
      <c r="D1" s="1"/>
      <c r="E1" s="1"/>
      <c r="F1" s="1"/>
      <c r="G1" s="1"/>
      <c r="H1" s="1"/>
      <c r="I1" s="1"/>
      <c r="J1" s="1"/>
      <c r="K1" s="1"/>
    </row>
    <row r="2" spans="1:11" ht="18" customHeight="1">
      <c r="A2" s="1"/>
      <c r="B2" s="1"/>
      <c r="C2" s="1"/>
      <c r="D2" s="1"/>
      <c r="E2" s="1"/>
      <c r="F2" s="1"/>
      <c r="G2" s="1"/>
      <c r="H2" s="1"/>
      <c r="I2" s="1"/>
      <c r="J2" s="1"/>
      <c r="K2" s="1"/>
    </row>
    <row r="5" spans="1:11" ht="27" customHeight="1">
      <c r="B5" s="2" t="s">
        <v>24</v>
      </c>
      <c r="C5" s="2"/>
      <c r="D5" s="2"/>
      <c r="E5" s="2"/>
      <c r="F5" s="2"/>
      <c r="G5" s="2"/>
      <c r="H5" s="2"/>
      <c r="I5" s="2"/>
      <c r="J5" s="2"/>
      <c r="K5" s="2"/>
    </row>
    <row r="6" spans="1:11" ht="26" customHeight="1">
      <c r="B6" s="3" t="s">
        <v>25</v>
      </c>
      <c r="C6" s="3"/>
      <c r="D6" s="3"/>
      <c r="E6" s="3"/>
      <c r="F6" s="3"/>
      <c r="G6" s="3"/>
      <c r="H6" s="3"/>
      <c r="I6" s="3"/>
      <c r="J6" s="3"/>
      <c r="K6" s="3"/>
    </row>
    <row r="7" spans="1:11" ht="26" customHeight="1">
      <c r="B7" s="3"/>
      <c r="C7" s="3"/>
      <c r="D7" s="3"/>
      <c r="E7" s="3"/>
      <c r="F7" s="3"/>
      <c r="G7" s="3"/>
      <c r="H7" s="3"/>
      <c r="I7" s="3"/>
      <c r="J7" s="3"/>
      <c r="K7" s="3"/>
    </row>
    <row r="8" spans="1:11" ht="27" customHeight="1">
      <c r="B8" s="2" t="s">
        <v>26</v>
      </c>
      <c r="C8" s="2"/>
      <c r="D8" s="2"/>
      <c r="E8" s="2"/>
      <c r="F8" s="2"/>
      <c r="G8" s="2"/>
      <c r="H8" s="2"/>
      <c r="I8" s="2"/>
      <c r="J8" s="2"/>
      <c r="K8" s="2"/>
    </row>
    <row r="9" spans="1:11" ht="26" customHeight="1">
      <c r="B9" s="3" t="s">
        <v>27</v>
      </c>
      <c r="C9" s="3"/>
      <c r="D9" s="3"/>
      <c r="E9" s="3"/>
      <c r="F9" s="3"/>
      <c r="G9" s="3"/>
      <c r="H9" s="3"/>
      <c r="I9" s="3"/>
      <c r="J9" s="3"/>
      <c r="K9" s="3"/>
    </row>
    <row r="10" spans="1:11" ht="26" customHeight="1">
      <c r="B10" s="3"/>
      <c r="C10" s="3"/>
      <c r="D10" s="3"/>
      <c r="E10" s="3"/>
      <c r="F10" s="3"/>
      <c r="G10" s="3"/>
      <c r="H10" s="3"/>
      <c r="I10" s="3"/>
      <c r="J10" s="3"/>
      <c r="K10" s="3"/>
    </row>
    <row r="11" spans="1:11" ht="27" customHeight="1">
      <c r="B11" s="2" t="s">
        <v>28</v>
      </c>
      <c r="C11" s="2"/>
      <c r="D11" s="2"/>
      <c r="E11" s="2"/>
      <c r="F11" s="2"/>
      <c r="G11" s="2"/>
      <c r="H11" s="2"/>
      <c r="I11" s="2"/>
      <c r="J11" s="2"/>
      <c r="K11" s="2"/>
    </row>
    <row r="12" spans="1:11" ht="26" customHeight="1">
      <c r="B12" s="3" t="s">
        <v>29</v>
      </c>
      <c r="C12" s="3"/>
      <c r="D12" s="3"/>
      <c r="E12" s="3"/>
      <c r="F12" s="3"/>
      <c r="G12" s="3"/>
      <c r="H12" s="3"/>
      <c r="I12" s="3"/>
      <c r="J12" s="3"/>
      <c r="K12" s="3"/>
    </row>
    <row r="13" spans="1:11" ht="26" customHeight="1">
      <c r="B13" s="3"/>
      <c r="C13" s="3"/>
      <c r="D13" s="3"/>
      <c r="E13" s="3"/>
      <c r="F13" s="3"/>
      <c r="G13" s="3"/>
      <c r="H13" s="3"/>
      <c r="I13" s="3"/>
      <c r="J13" s="3"/>
      <c r="K13" s="3"/>
    </row>
    <row r="14" spans="1:11" ht="27" customHeight="1">
      <c r="B14" s="2" t="s">
        <v>30</v>
      </c>
      <c r="C14" s="2"/>
      <c r="D14" s="2"/>
      <c r="E14" s="2"/>
      <c r="F14" s="2"/>
      <c r="G14" s="2"/>
      <c r="H14" s="2"/>
      <c r="I14" s="2"/>
      <c r="J14" s="2"/>
      <c r="K14" s="2"/>
    </row>
    <row r="15" spans="1:11" ht="26" customHeight="1">
      <c r="B15" s="3" t="s">
        <v>31</v>
      </c>
      <c r="C15" s="3"/>
      <c r="D15" s="3"/>
      <c r="E15" s="3"/>
      <c r="F15" s="3"/>
      <c r="G15" s="3"/>
      <c r="H15" s="3"/>
      <c r="I15" s="3"/>
      <c r="J15" s="3"/>
      <c r="K15" s="3"/>
    </row>
    <row r="16" spans="1:11" ht="26" customHeight="1">
      <c r="B16" s="3"/>
      <c r="C16" s="3"/>
      <c r="D16" s="3"/>
      <c r="E16" s="3"/>
      <c r="F16" s="3"/>
      <c r="G16" s="3"/>
      <c r="H16" s="3"/>
      <c r="I16" s="3"/>
      <c r="J16" s="3"/>
      <c r="K16" s="3"/>
    </row>
    <row r="17" spans="2:11" ht="27" customHeight="1">
      <c r="B17" s="2" t="s">
        <v>32</v>
      </c>
      <c r="C17" s="2"/>
      <c r="D17" s="2"/>
      <c r="E17" s="2"/>
      <c r="F17" s="2"/>
      <c r="G17" s="2"/>
      <c r="H17" s="2"/>
      <c r="I17" s="2"/>
      <c r="J17" s="2"/>
      <c r="K17" s="2"/>
    </row>
    <row r="18" spans="2:11" ht="26" customHeight="1">
      <c r="B18" s="3" t="s">
        <v>33</v>
      </c>
      <c r="C18" s="3"/>
      <c r="D18" s="3"/>
      <c r="E18" s="3"/>
      <c r="F18" s="3"/>
      <c r="G18" s="3"/>
      <c r="H18" s="3"/>
      <c r="I18" s="3"/>
      <c r="J18" s="3"/>
      <c r="K18" s="3"/>
    </row>
    <row r="19" spans="2:11" ht="26" customHeight="1">
      <c r="B19" s="3"/>
      <c r="C19" s="3"/>
      <c r="D19" s="3"/>
      <c r="E19" s="3"/>
      <c r="F19" s="3"/>
      <c r="G19" s="3"/>
      <c r="H19" s="3"/>
      <c r="I19" s="3"/>
      <c r="J19" s="3"/>
      <c r="K19" s="3"/>
    </row>
    <row r="20" spans="2:11" ht="27" customHeight="1">
      <c r="B20" s="2" t="s">
        <v>34</v>
      </c>
      <c r="C20" s="2"/>
      <c r="D20" s="2"/>
      <c r="E20" s="2"/>
      <c r="F20" s="2"/>
      <c r="G20" s="2"/>
      <c r="H20" s="2"/>
      <c r="I20" s="2"/>
      <c r="J20" s="2"/>
      <c r="K20" s="2"/>
    </row>
    <row r="21" spans="2:11" ht="26" customHeight="1">
      <c r="B21" s="3" t="s">
        <v>35</v>
      </c>
      <c r="C21" s="3"/>
      <c r="D21" s="3"/>
      <c r="E21" s="3"/>
      <c r="F21" s="3"/>
      <c r="G21" s="3"/>
      <c r="H21" s="3"/>
      <c r="I21" s="3"/>
      <c r="J21" s="3"/>
      <c r="K21" s="3"/>
    </row>
    <row r="22" spans="2:11" ht="26" customHeight="1">
      <c r="B22" s="3"/>
      <c r="C22" s="3"/>
      <c r="D22" s="3"/>
      <c r="E22" s="3"/>
      <c r="F22" s="3"/>
      <c r="G22" s="3"/>
      <c r="H22" s="3"/>
      <c r="I22" s="3"/>
      <c r="J22" s="3"/>
      <c r="K22" s="3"/>
    </row>
    <row r="23" spans="2:11" ht="27" customHeight="1">
      <c r="B23" s="2" t="s">
        <v>36</v>
      </c>
      <c r="C23" s="2"/>
      <c r="D23" s="2"/>
      <c r="E23" s="2"/>
      <c r="F23" s="2"/>
      <c r="G23" s="2"/>
      <c r="H23" s="2"/>
      <c r="I23" s="2"/>
      <c r="J23" s="2"/>
      <c r="K23" s="2"/>
    </row>
    <row r="24" spans="2:11" ht="26" customHeight="1">
      <c r="B24" s="3" t="s">
        <v>37</v>
      </c>
      <c r="C24" s="3"/>
      <c r="D24" s="3"/>
      <c r="E24" s="3"/>
      <c r="F24" s="3"/>
      <c r="G24" s="3"/>
      <c r="H24" s="3"/>
      <c r="I24" s="3"/>
      <c r="J24" s="3"/>
      <c r="K24" s="3"/>
    </row>
    <row r="25" spans="2:11" ht="26" customHeight="1">
      <c r="B25" s="3"/>
      <c r="C25" s="3"/>
      <c r="D25" s="3"/>
      <c r="E25" s="3"/>
      <c r="F25" s="3"/>
      <c r="G25" s="3"/>
      <c r="H25" s="3"/>
      <c r="I25" s="3"/>
      <c r="J25" s="3"/>
      <c r="K25" s="3"/>
    </row>
    <row r="26" spans="2:11" ht="27" customHeight="1">
      <c r="B26" s="2" t="s">
        <v>38</v>
      </c>
      <c r="C26" s="2"/>
      <c r="D26" s="2"/>
      <c r="E26" s="2"/>
      <c r="F26" s="2"/>
      <c r="G26" s="2"/>
      <c r="H26" s="2"/>
      <c r="I26" s="2"/>
      <c r="J26" s="2"/>
      <c r="K26" s="2"/>
    </row>
    <row r="27" spans="2:11" ht="26" customHeight="1">
      <c r="B27" s="3" t="s">
        <v>39</v>
      </c>
      <c r="C27" s="3"/>
      <c r="D27" s="3"/>
      <c r="E27" s="3"/>
      <c r="F27" s="3"/>
      <c r="G27" s="3"/>
      <c r="H27" s="3"/>
      <c r="I27" s="3"/>
      <c r="J27" s="3"/>
      <c r="K27" s="3"/>
    </row>
    <row r="28" spans="2:11" ht="26" customHeight="1">
      <c r="B28" s="3"/>
      <c r="C28" s="3"/>
      <c r="D28" s="3"/>
      <c r="E28" s="3"/>
      <c r="F28" s="3"/>
      <c r="G28" s="3"/>
      <c r="H28" s="3"/>
      <c r="I28" s="3"/>
      <c r="J28" s="3"/>
      <c r="K28" s="3"/>
    </row>
    <row r="29" spans="2:11" ht="27" customHeight="1">
      <c r="B29" s="2" t="s">
        <v>40</v>
      </c>
      <c r="C29" s="2"/>
      <c r="D29" s="2"/>
      <c r="E29" s="2"/>
      <c r="F29" s="2"/>
      <c r="G29" s="2"/>
      <c r="H29" s="2"/>
      <c r="I29" s="2"/>
      <c r="J29" s="2"/>
      <c r="K29" s="2"/>
    </row>
    <row r="30" spans="2:11" ht="26" customHeight="1">
      <c r="B30" s="3" t="s">
        <v>41</v>
      </c>
      <c r="C30" s="3"/>
      <c r="D30" s="3"/>
      <c r="E30" s="3"/>
      <c r="F30" s="3"/>
      <c r="G30" s="3"/>
      <c r="H30" s="3"/>
      <c r="I30" s="3"/>
      <c r="J30" s="3"/>
      <c r="K30" s="3"/>
    </row>
    <row r="31" spans="2:11" ht="26" customHeight="1">
      <c r="B31" s="3"/>
      <c r="C31" s="3"/>
      <c r="D31" s="3"/>
      <c r="E31" s="3"/>
      <c r="F31" s="3"/>
      <c r="G31" s="3"/>
      <c r="H31" s="3"/>
      <c r="I31" s="3"/>
      <c r="J31" s="3"/>
      <c r="K31" s="3"/>
    </row>
    <row r="32" spans="2:11" ht="27" customHeight="1">
      <c r="B32" s="2" t="s">
        <v>42</v>
      </c>
      <c r="C32" s="2"/>
      <c r="D32" s="2"/>
      <c r="E32" s="2"/>
      <c r="F32" s="2"/>
      <c r="G32" s="2"/>
      <c r="H32" s="2"/>
      <c r="I32" s="2"/>
      <c r="J32" s="2"/>
      <c r="K32" s="2"/>
    </row>
    <row r="33" spans="2:11" ht="26" customHeight="1">
      <c r="B33" s="3" t="s">
        <v>43</v>
      </c>
      <c r="C33" s="3"/>
      <c r="D33" s="3"/>
      <c r="E33" s="3"/>
      <c r="F33" s="3"/>
      <c r="G33" s="3"/>
      <c r="H33" s="3"/>
      <c r="I33" s="3"/>
      <c r="J33" s="3"/>
      <c r="K33" s="3"/>
    </row>
    <row r="34" spans="2:11" ht="26" customHeight="1">
      <c r="B34" s="3"/>
      <c r="C34" s="3"/>
      <c r="D34" s="3"/>
      <c r="E34" s="3"/>
      <c r="F34" s="3"/>
      <c r="G34" s="3"/>
      <c r="H34" s="3"/>
      <c r="I34" s="3"/>
      <c r="J34" s="3"/>
      <c r="K34" s="3"/>
    </row>
    <row r="35" spans="2:11" ht="27" customHeight="1">
      <c r="B35" s="2" t="s">
        <v>44</v>
      </c>
      <c r="C35" s="2"/>
      <c r="D35" s="2"/>
      <c r="E35" s="2"/>
      <c r="F35" s="2"/>
      <c r="G35" s="2"/>
      <c r="H35" s="2"/>
      <c r="I35" s="2"/>
      <c r="J35" s="2"/>
      <c r="K35" s="2"/>
    </row>
    <row r="36" spans="2:11" ht="26" customHeight="1">
      <c r="B36" s="3" t="s">
        <v>45</v>
      </c>
      <c r="C36" s="3"/>
      <c r="D36" s="3"/>
      <c r="E36" s="3"/>
      <c r="F36" s="3"/>
      <c r="G36" s="3"/>
      <c r="H36" s="3"/>
      <c r="I36" s="3"/>
      <c r="J36" s="3"/>
      <c r="K36" s="3"/>
    </row>
    <row r="37" spans="2:11" ht="26" customHeight="1">
      <c r="B37" s="3"/>
      <c r="C37" s="3"/>
      <c r="D37" s="3"/>
      <c r="E37" s="3"/>
      <c r="F37" s="3"/>
      <c r="G37" s="3"/>
      <c r="H37" s="3"/>
      <c r="I37" s="3"/>
      <c r="J37" s="3"/>
      <c r="K37" s="3"/>
    </row>
    <row r="38" spans="2:11" ht="27" customHeight="1">
      <c r="B38" s="2" t="s">
        <v>46</v>
      </c>
      <c r="C38" s="2"/>
      <c r="D38" s="2"/>
      <c r="E38" s="2"/>
      <c r="F38" s="2"/>
      <c r="G38" s="2"/>
      <c r="H38" s="2"/>
      <c r="I38" s="2"/>
      <c r="J38" s="2"/>
      <c r="K38" s="2"/>
    </row>
    <row r="39" spans="2:11" ht="26" customHeight="1">
      <c r="B39" s="3" t="s">
        <v>47</v>
      </c>
      <c r="C39" s="3"/>
      <c r="D39" s="3"/>
      <c r="E39" s="3"/>
      <c r="F39" s="3"/>
      <c r="G39" s="3"/>
      <c r="H39" s="3"/>
      <c r="I39" s="3"/>
      <c r="J39" s="3"/>
      <c r="K39" s="3"/>
    </row>
    <row r="40" spans="2:11" ht="26" customHeight="1">
      <c r="B40" s="3"/>
      <c r="C40" s="3"/>
      <c r="D40" s="3"/>
      <c r="E40" s="3"/>
      <c r="F40" s="3"/>
      <c r="G40" s="3"/>
      <c r="H40" s="3"/>
      <c r="I40" s="3"/>
      <c r="J40" s="3"/>
      <c r="K40" s="3"/>
    </row>
    <row r="41" spans="2:11" ht="27" customHeight="1">
      <c r="B41" s="2" t="s">
        <v>48</v>
      </c>
      <c r="C41" s="2"/>
      <c r="D41" s="2"/>
      <c r="E41" s="2"/>
      <c r="F41" s="2"/>
      <c r="G41" s="2"/>
      <c r="H41" s="2"/>
      <c r="I41" s="2"/>
      <c r="J41" s="2"/>
      <c r="K41" s="2"/>
    </row>
    <row r="42" spans="2:11" ht="26" customHeight="1">
      <c r="B42" s="3" t="s">
        <v>49</v>
      </c>
      <c r="C42" s="3"/>
      <c r="D42" s="3"/>
      <c r="E42" s="3"/>
      <c r="F42" s="3"/>
      <c r="G42" s="3"/>
      <c r="H42" s="3"/>
      <c r="I42" s="3"/>
      <c r="J42" s="3"/>
      <c r="K42" s="3"/>
    </row>
    <row r="43" spans="2:11" ht="26" customHeight="1">
      <c r="B43" s="3"/>
      <c r="C43" s="3"/>
      <c r="D43" s="3"/>
      <c r="E43" s="3"/>
      <c r="F43" s="3"/>
      <c r="G43" s="3"/>
      <c r="H43" s="3"/>
      <c r="I43" s="3"/>
      <c r="J43" s="3"/>
      <c r="K43" s="3"/>
    </row>
  </sheetData>
  <sheetProtection sheet="1" objects="1" scenarios="1" sort="0" autoFilter="0"/>
  <mergeCells count="27">
    <mergeCell ref="A1:K2"/>
    <mergeCell ref="B5:K5"/>
    <mergeCell ref="B6:K7"/>
    <mergeCell ref="B8:K8"/>
    <mergeCell ref="B9:K10"/>
    <mergeCell ref="B11:K11"/>
    <mergeCell ref="B12:K13"/>
    <mergeCell ref="B14:K14"/>
    <mergeCell ref="B15:K16"/>
    <mergeCell ref="B17:K17"/>
    <mergeCell ref="B18:K19"/>
    <mergeCell ref="B20:K20"/>
    <mergeCell ref="B21:K22"/>
    <mergeCell ref="B23:K23"/>
    <mergeCell ref="B24:K25"/>
    <mergeCell ref="B26:K26"/>
    <mergeCell ref="B27:K28"/>
    <mergeCell ref="B29:K29"/>
    <mergeCell ref="B30:K31"/>
    <mergeCell ref="B32:K32"/>
    <mergeCell ref="B33:K34"/>
    <mergeCell ref="B35:K35"/>
    <mergeCell ref="B36:K37"/>
    <mergeCell ref="B38:K38"/>
    <mergeCell ref="B39:K40"/>
    <mergeCell ref="B41:K41"/>
    <mergeCell ref="B42:K43"/>
  </mergeCells>
  <pageMargins left="0.3" right="0.3" top="0.4" bottom="0.4" header="0.3" footer="0.3"/>
  <pageSetup paperSize="9" fitToHeight="0" orientation="landscape"/>
  <headerFooter>
    <oddFooter>&amp;L Irish naturalisation tracker &amp;R 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K32"/>
  <sheetViews>
    <sheetView showGridLines="0" tabSelected="1" workbookViewId="0">
      <pane ySplit="5" topLeftCell="A6" activePane="bottomLeft" state="frozen"/>
      <selection pane="bottomLeft"/>
    </sheetView>
  </sheetViews>
  <sheetFormatPr defaultRowHeight="27" customHeight="1"/>
  <cols>
    <col min="1" max="1" width="5.7109375" customWidth="1"/>
    <col min="2" max="2" width="42.7109375" customWidth="1"/>
    <col min="3" max="3" width="32.7109375" customWidth="1"/>
    <col min="4" max="11" width="13.7109375" customWidth="1"/>
  </cols>
  <sheetData>
    <row r="1" spans="1:11" ht="24" customHeight="1">
      <c r="A1" s="1" t="s">
        <v>1</v>
      </c>
      <c r="B1" s="1"/>
      <c r="C1" s="1"/>
      <c r="D1" s="1"/>
      <c r="E1" s="1"/>
      <c r="F1" s="1"/>
      <c r="G1" s="1"/>
      <c r="H1" s="1"/>
      <c r="I1" s="1"/>
      <c r="J1" s="1"/>
      <c r="K1" s="1"/>
    </row>
    <row r="2" spans="1:11" ht="18" customHeight="1">
      <c r="A2" s="1"/>
      <c r="B2" s="1"/>
      <c r="C2" s="1"/>
      <c r="D2" s="1"/>
      <c r="E2" s="1"/>
      <c r="F2" s="1"/>
      <c r="G2" s="1"/>
      <c r="H2" s="1"/>
      <c r="I2" s="1"/>
      <c r="J2" s="1"/>
      <c r="K2" s="1"/>
    </row>
    <row r="4" spans="1:11" ht="27" customHeight="1">
      <c r="B4" s="2" t="s">
        <v>50</v>
      </c>
      <c r="C4" s="4" t="s">
        <v>51</v>
      </c>
    </row>
    <row r="5" spans="1:11" ht="27" customHeight="1">
      <c r="B5" s="2" t="s">
        <v>52</v>
      </c>
      <c r="C5" s="4"/>
    </row>
    <row r="6" spans="1:11" ht="27" customHeight="1">
      <c r="B6" s="5" t="s">
        <v>53</v>
      </c>
      <c r="C6" s="6">
        <f>IF(C4="Standard adult",5,3)</f>
        <v>5</v>
      </c>
    </row>
    <row r="7" spans="1:11" ht="27" customHeight="1">
      <c r="B7" s="2" t="s">
        <v>54</v>
      </c>
      <c r="C7" s="7" t="str">
        <f>IF(AND(COUNTIF(C11:C16,"OK")=6,COUNTIF(C20:C27,"☑")=8),"READY FOR SUBMISSION","NOT READY — CHECK ITEMS BELOW")</f>
        <v>NOT READY — CHECK ITEMS BELOW</v>
      </c>
      <c r="D7" s="7"/>
      <c r="E7" s="7"/>
      <c r="F7" s="7"/>
      <c r="G7" s="7"/>
      <c r="H7" s="7"/>
    </row>
    <row r="8" spans="1:11" ht="27" customHeight="1">
      <c r="C8" s="7"/>
      <c r="D8" s="7"/>
      <c r="E8" s="7"/>
      <c r="F8" s="7"/>
      <c r="G8" s="7"/>
      <c r="H8" s="7"/>
    </row>
    <row r="10" spans="1:11" ht="34" customHeight="1">
      <c r="A10" s="2"/>
      <c r="B10" s="2" t="s">
        <v>55</v>
      </c>
      <c r="C10" s="2" t="s">
        <v>56</v>
      </c>
      <c r="D10" s="2" t="s">
        <v>57</v>
      </c>
    </row>
    <row r="11" spans="1:11" ht="27" customHeight="1">
      <c r="B11" s="5" t="s">
        <v>58</v>
      </c>
      <c r="C11" s="6" t="str">
        <f>IF(AND(C5&lt;&gt;"",OR(C4="Standard adult",C4="Irish spouse / civil partner")),"OK","MISSING")</f>
        <v>MISSING</v>
      </c>
      <c r="D11" s="6">
        <f>IF(C5="","Enter applicant name","Route selected")</f>
        <v/>
      </c>
      <c r="E11" s="6"/>
      <c r="F11" s="6"/>
      <c r="G11" s="6"/>
      <c r="H11" s="6"/>
    </row>
    <row r="12" spans="1:11" ht="27" customHeight="1">
      <c r="B12" s="5" t="s">
        <v>59</v>
      </c>
      <c r="C12" s="6" t="str">
        <f>IF(AND(Identity!I16&gt;=150,Identity!I17="OK"),"OK","MISSING")</f>
        <v>MISSING</v>
      </c>
      <c r="D12" s="6">
        <f>Identity!I16&amp;" / 150 identity points"</f>
        <v/>
      </c>
      <c r="E12" s="6"/>
      <c r="F12" s="6"/>
      <c r="G12" s="6"/>
      <c r="H12" s="6"/>
    </row>
    <row r="13" spans="1:11" ht="27" customHeight="1">
      <c r="B13" s="5" t="s">
        <v>60</v>
      </c>
      <c r="C13" s="6" t="str">
        <f>IF(AND(Residence!J18="OK",COUNTIF(Residence!I6:I14,"MISSING")=0),"OK","MISSING")</f>
        <v>MISSING</v>
      </c>
      <c r="D13" s="6">
        <f>COUNTIF(Residence!I6:I14,"OK")&amp;" complete active year slots"</f>
        <v/>
      </c>
      <c r="E13" s="6"/>
      <c r="F13" s="6"/>
      <c r="G13" s="6"/>
      <c r="H13" s="6"/>
    </row>
    <row r="14" spans="1:11" ht="27" customHeight="1">
      <c r="B14" s="5" t="s">
        <v>61</v>
      </c>
      <c r="C14" s="6" t="str">
        <f>IF(COUNTIF(Documents!H6:H33,"MISSING")=0,"OK","MISSING")</f>
        <v>MISSING</v>
      </c>
      <c r="D14" s="6">
        <f>COUNTIF(Documents!H6:H33,"MISSING")&amp;" unresolved document checks"</f>
        <v/>
      </c>
      <c r="E14" s="6"/>
      <c r="F14" s="6"/>
      <c r="G14" s="6"/>
      <c r="H14" s="6"/>
    </row>
    <row r="15" spans="1:11" ht="27" customHeight="1">
      <c r="B15" s="5" t="s">
        <v>62</v>
      </c>
      <c r="C15" s="6" t="str">
        <f>IF(COUNTIF('Extra requests'!G6:G15,"MISSING")=0,"OK","MISSING")</f>
        <v>MISSING</v>
      </c>
      <c r="D15" s="6">
        <f>COUNTIF('Extra requests'!G6:G15,"MISSING")&amp;" outstanding extra requests"</f>
        <v/>
      </c>
      <c r="E15" s="6"/>
      <c r="F15" s="6"/>
      <c r="G15" s="6"/>
      <c r="H15" s="6"/>
    </row>
    <row r="16" spans="1:11" ht="27" customHeight="1">
      <c r="B16" s="5" t="s">
        <v>63</v>
      </c>
      <c r="C16" s="6" t="str">
        <f>IF(COUNTIF(C20:C27,"☑")=8,"OK","MISSING")</f>
        <v>MISSING</v>
      </c>
      <c r="D16" s="6">
        <f>COUNTIF(C20:C27,"☑")&amp;" / 8 confirmations"</f>
        <v/>
      </c>
      <c r="E16" s="6"/>
      <c r="F16" s="6"/>
      <c r="G16" s="6"/>
      <c r="H16" s="6"/>
    </row>
    <row r="19" spans="1:11" ht="34" customHeight="1">
      <c r="A19" s="2"/>
      <c r="B19" s="2" t="s">
        <v>64</v>
      </c>
      <c r="C19" s="2" t="s">
        <v>65</v>
      </c>
    </row>
    <row r="20" spans="1:11" ht="48" customHeight="1">
      <c r="B20" s="5" t="s">
        <v>66</v>
      </c>
      <c r="C20" s="8" t="s">
        <v>67</v>
      </c>
    </row>
    <row r="21" spans="1:11" ht="48" customHeight="1">
      <c r="B21" s="5" t="s">
        <v>68</v>
      </c>
      <c r="C21" s="8" t="s">
        <v>67</v>
      </c>
    </row>
    <row r="22" spans="1:11" ht="48" customHeight="1">
      <c r="B22" s="5" t="s">
        <v>69</v>
      </c>
      <c r="C22" s="8" t="s">
        <v>67</v>
      </c>
    </row>
    <row r="23" spans="1:11" ht="48" customHeight="1">
      <c r="B23" s="5" t="s">
        <v>70</v>
      </c>
      <c r="C23" s="8" t="s">
        <v>67</v>
      </c>
    </row>
    <row r="24" spans="1:11" ht="48" customHeight="1">
      <c r="B24" s="5" t="s">
        <v>71</v>
      </c>
      <c r="C24" s="8" t="s">
        <v>67</v>
      </c>
    </row>
    <row r="25" spans="1:11" ht="48" customHeight="1">
      <c r="B25" s="5" t="s">
        <v>72</v>
      </c>
      <c r="C25" s="8" t="s">
        <v>67</v>
      </c>
    </row>
    <row r="26" spans="1:11" ht="48" customHeight="1">
      <c r="B26" s="5" t="s">
        <v>73</v>
      </c>
      <c r="C26" s="8" t="s">
        <v>67</v>
      </c>
    </row>
    <row r="27" spans="1:11" ht="48" customHeight="1">
      <c r="B27" s="5" t="s">
        <v>74</v>
      </c>
      <c r="C27" s="8" t="s">
        <v>67</v>
      </c>
    </row>
    <row r="30" spans="1:11" ht="27" customHeight="1">
      <c r="B30" s="3" t="s">
        <v>75</v>
      </c>
      <c r="C30" s="3"/>
      <c r="D30" s="3"/>
      <c r="E30" s="3"/>
      <c r="F30" s="3"/>
      <c r="G30" s="3"/>
      <c r="H30" s="3"/>
      <c r="I30" s="3"/>
      <c r="J30" s="3"/>
      <c r="K30" s="3"/>
    </row>
    <row r="31" spans="1:11" ht="27" customHeight="1">
      <c r="B31" s="3"/>
      <c r="C31" s="3"/>
      <c r="D31" s="3"/>
      <c r="E31" s="3"/>
      <c r="F31" s="3"/>
      <c r="G31" s="3"/>
      <c r="H31" s="3"/>
      <c r="I31" s="3"/>
      <c r="J31" s="3"/>
      <c r="K31" s="3"/>
    </row>
    <row r="32" spans="1:11" ht="27" customHeight="1">
      <c r="B32" s="3"/>
      <c r="C32" s="3"/>
      <c r="D32" s="3"/>
      <c r="E32" s="3"/>
      <c r="F32" s="3"/>
      <c r="G32" s="3"/>
      <c r="H32" s="3"/>
      <c r="I32" s="3"/>
      <c r="J32" s="3"/>
      <c r="K32" s="3"/>
    </row>
  </sheetData>
  <sheetProtection sheet="1" objects="1" scenarios="1" sort="0" autoFilter="0"/>
  <mergeCells count="9">
    <mergeCell ref="A1:K2"/>
    <mergeCell ref="C7:H8"/>
    <mergeCell ref="D11:H11"/>
    <mergeCell ref="D12:H12"/>
    <mergeCell ref="D13:H13"/>
    <mergeCell ref="D14:H14"/>
    <mergeCell ref="D15:H15"/>
    <mergeCell ref="D16:H16"/>
    <mergeCell ref="B30:K32"/>
  </mergeCells>
  <conditionalFormatting sqref="C11:C16">
    <cfRule type="containsText" dxfId="0" priority="1" operator="containsText" text="OK">
      <formula>NOT(ISERROR(SEARCH("OK",C11)))</formula>
    </cfRule>
    <cfRule type="containsText" dxfId="1" priority="2" operator="containsText" text="MISSING">
      <formula>NOT(ISERROR(SEARCH("MISSING",C11)))</formula>
    </cfRule>
  </conditionalFormatting>
  <dataValidations count="9">
    <dataValidation type="list" allowBlank="1" showInputMessage="1" showErrorMessage="1" sqref="C4">
      <formula1>"Standard adult,Irish spouse / civil partner"</formula1>
    </dataValidation>
    <dataValidation type="list" allowBlank="1" showInputMessage="1" showErrorMessage="1" errorTitle="Choose a tick" error="Choose ☐ or ☑ from the dropdown." sqref="C20">
      <formula1>"☐,☑"</formula1>
    </dataValidation>
    <dataValidation type="list" allowBlank="1" showInputMessage="1" showErrorMessage="1" errorTitle="Choose a tick" error="Choose ☐ or ☑ from the dropdown." sqref="C21">
      <formula1>"☐,☑"</formula1>
    </dataValidation>
    <dataValidation type="list" allowBlank="1" showInputMessage="1" showErrorMessage="1" errorTitle="Choose a tick" error="Choose ☐ or ☑ from the dropdown." sqref="C22">
      <formula1>"☐,☑"</formula1>
    </dataValidation>
    <dataValidation type="list" allowBlank="1" showInputMessage="1" showErrorMessage="1" errorTitle="Choose a tick" error="Choose ☐ or ☑ from the dropdown." sqref="C23">
      <formula1>"☐,☑"</formula1>
    </dataValidation>
    <dataValidation type="list" allowBlank="1" showInputMessage="1" showErrorMessage="1" errorTitle="Choose a tick" error="Choose ☐ or ☑ from the dropdown." sqref="C24">
      <formula1>"☐,☑"</formula1>
    </dataValidation>
    <dataValidation type="list" allowBlank="1" showInputMessage="1" showErrorMessage="1" errorTitle="Choose a tick" error="Choose ☐ or ☑ from the dropdown." sqref="C25">
      <formula1>"☐,☑"</formula1>
    </dataValidation>
    <dataValidation type="list" allowBlank="1" showInputMessage="1" showErrorMessage="1" errorTitle="Choose a tick" error="Choose ☐ or ☑ from the dropdown." sqref="C26">
      <formula1>"☐,☑"</formula1>
    </dataValidation>
    <dataValidation type="list" allowBlank="1" showInputMessage="1" showErrorMessage="1" errorTitle="Choose a tick" error="Choose ☐ or ☑ from the dropdown." sqref="C27">
      <formula1>"☐,☑"</formula1>
    </dataValidation>
  </dataValidations>
  <pageMargins left="0.3" right="0.3" top="0.4" bottom="0.4" header="0.3" footer="0.3"/>
  <pageSetup paperSize="9" fitToHeight="0" orientation="landscape"/>
  <headerFooter>
    <oddFooter>&amp;L Irish naturalisation tracker &amp;R 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K21"/>
  <sheetViews>
    <sheetView showGridLines="0" workbookViewId="0">
      <pane ySplit="5" topLeftCell="A6" activePane="bottomLeft" state="frozen"/>
      <selection pane="bottomLeft"/>
    </sheetView>
  </sheetViews>
  <sheetFormatPr defaultRowHeight="27" customHeight="1"/>
  <cols>
    <col min="1" max="1" width="8.7109375" customWidth="1"/>
    <col min="2" max="2" width="45.7109375" customWidth="1"/>
    <col min="3" max="6" width="18.7109375" customWidth="1"/>
    <col min="7" max="7" width="35.7109375" customWidth="1"/>
    <col min="8" max="9" width="18.7109375" customWidth="1"/>
    <col min="10" max="11" width="22.7109375" customWidth="1"/>
  </cols>
  <sheetData>
    <row r="1" spans="1:11" ht="24" customHeight="1">
      <c r="A1" s="1" t="s">
        <v>2</v>
      </c>
      <c r="B1" s="1"/>
      <c r="C1" s="1"/>
      <c r="D1" s="1"/>
      <c r="E1" s="1"/>
      <c r="F1" s="1"/>
      <c r="G1" s="1"/>
      <c r="H1" s="1"/>
      <c r="I1" s="1"/>
      <c r="J1" s="1"/>
      <c r="K1" s="1"/>
    </row>
    <row r="2" spans="1:11" ht="18" customHeight="1">
      <c r="A2" s="1"/>
      <c r="B2" s="1"/>
      <c r="C2" s="1"/>
      <c r="D2" s="1"/>
      <c r="E2" s="1"/>
      <c r="F2" s="1"/>
      <c r="G2" s="1"/>
      <c r="H2" s="1"/>
      <c r="I2" s="1"/>
      <c r="J2" s="1"/>
      <c r="K2" s="1"/>
    </row>
    <row r="3" spans="1:11" ht="27" customHeight="1">
      <c r="A3" s="3" t="s">
        <v>76</v>
      </c>
      <c r="B3" s="3"/>
      <c r="C3" s="3"/>
      <c r="D3" s="3"/>
      <c r="E3" s="3"/>
      <c r="F3" s="3"/>
      <c r="G3" s="3"/>
      <c r="H3" s="3"/>
      <c r="I3" s="3"/>
      <c r="J3" s="3"/>
      <c r="K3" s="3"/>
    </row>
    <row r="4" spans="1:11" ht="27" customHeight="1">
      <c r="A4" s="3"/>
      <c r="B4" s="3"/>
      <c r="C4" s="3"/>
      <c r="D4" s="3"/>
      <c r="E4" s="3"/>
      <c r="F4" s="3"/>
      <c r="G4" s="3"/>
      <c r="H4" s="3"/>
      <c r="I4" s="3"/>
      <c r="J4" s="3"/>
      <c r="K4" s="3"/>
    </row>
    <row r="5" spans="1:11" ht="34" customHeight="1">
      <c r="A5" s="2" t="s">
        <v>77</v>
      </c>
      <c r="B5" s="2" t="s">
        <v>78</v>
      </c>
      <c r="C5" s="2" t="s">
        <v>79</v>
      </c>
      <c r="D5" s="2" t="s">
        <v>80</v>
      </c>
      <c r="E5" s="2" t="s">
        <v>81</v>
      </c>
      <c r="F5" s="2" t="s">
        <v>82</v>
      </c>
      <c r="G5" s="2" t="s">
        <v>83</v>
      </c>
      <c r="H5" s="2" t="s">
        <v>84</v>
      </c>
      <c r="I5" s="2" t="s">
        <v>85</v>
      </c>
      <c r="J5" s="2" t="s">
        <v>56</v>
      </c>
      <c r="K5" s="2"/>
    </row>
    <row r="6" spans="1:11" ht="44" customHeight="1">
      <c r="A6" s="5" t="s">
        <v>86</v>
      </c>
      <c r="B6" s="5" t="s">
        <v>87</v>
      </c>
      <c r="C6" s="6">
        <v>150</v>
      </c>
      <c r="D6" s="8" t="s">
        <v>67</v>
      </c>
      <c r="E6" s="8" t="s">
        <v>67</v>
      </c>
      <c r="F6" s="5" t="s">
        <v>88</v>
      </c>
      <c r="G6" s="4"/>
      <c r="H6" s="4"/>
      <c r="I6" s="6">
        <f>IF(AND(D6="☑",E6="☑",G6&lt;&gt;"",COUNTIF($G$6:$G$14,G6)=1),C6,0)</f>
        <v>0</v>
      </c>
      <c r="J6" s="6" t="str">
        <f>IF(D6="☐","UNSELECTED",IF(I6&gt;0,"OK","MISSING"))</f>
        <v>UNSELECTED</v>
      </c>
    </row>
    <row r="7" spans="1:11" ht="44" customHeight="1">
      <c r="A7" s="5" t="s">
        <v>89</v>
      </c>
      <c r="B7" s="5" t="s">
        <v>90</v>
      </c>
      <c r="C7" s="6">
        <v>75</v>
      </c>
      <c r="D7" s="8" t="s">
        <v>67</v>
      </c>
      <c r="E7" s="8" t="s">
        <v>67</v>
      </c>
      <c r="F7" s="5" t="s">
        <v>88</v>
      </c>
      <c r="G7" s="4"/>
      <c r="H7" s="4"/>
      <c r="I7" s="6">
        <f>IF(AND(D7="☑",E7="☑",G7&lt;&gt;"",COUNTIF($G$6:$G$14,G7)=1),C7,0)</f>
        <v>0</v>
      </c>
      <c r="J7" s="6" t="str">
        <f>IF(D7="☐","UNSELECTED",IF(I7&gt;0,"OK","MISSING"))</f>
        <v>UNSELECTED</v>
      </c>
    </row>
    <row r="8" spans="1:11" ht="44" customHeight="1">
      <c r="A8" s="5" t="s">
        <v>91</v>
      </c>
      <c r="B8" s="5" t="s">
        <v>92</v>
      </c>
      <c r="C8" s="6">
        <v>50</v>
      </c>
      <c r="D8" s="8" t="s">
        <v>67</v>
      </c>
      <c r="E8" s="8" t="s">
        <v>67</v>
      </c>
      <c r="F8" s="5" t="s">
        <v>88</v>
      </c>
      <c r="G8" s="4"/>
      <c r="H8" s="4"/>
      <c r="I8" s="6">
        <f>IF(AND(D8="☑",E8="☑",G8&lt;&gt;"",COUNTIF($G$6:$G$14,G8)=1),C8,0)</f>
        <v>0</v>
      </c>
      <c r="J8" s="6" t="str">
        <f>IF(D8="☐","UNSELECTED",IF(I8&gt;0,"OK","MISSING"))</f>
        <v>UNSELECTED</v>
      </c>
    </row>
    <row r="9" spans="1:11" ht="44" customHeight="1">
      <c r="A9" s="5" t="s">
        <v>93</v>
      </c>
      <c r="B9" s="5" t="s">
        <v>94</v>
      </c>
      <c r="C9" s="6">
        <v>75</v>
      </c>
      <c r="D9" s="8" t="s">
        <v>67</v>
      </c>
      <c r="E9" s="8" t="s">
        <v>67</v>
      </c>
      <c r="F9" s="5" t="s">
        <v>95</v>
      </c>
      <c r="G9" s="4"/>
      <c r="H9" s="4"/>
      <c r="I9" s="6">
        <f>IF(AND(D9="☑",E9="☑",G9&lt;&gt;"",COUNTIF($G$6:$G$14,G9)=1),C9,0)</f>
        <v>0</v>
      </c>
      <c r="J9" s="6" t="str">
        <f>IF(D9="☐","UNSELECTED",IF(I9&gt;0,"OK","MISSING"))</f>
        <v>UNSELECTED</v>
      </c>
    </row>
    <row r="10" spans="1:11" ht="44" customHeight="1">
      <c r="A10" s="5" t="s">
        <v>96</v>
      </c>
      <c r="B10" s="5" t="s">
        <v>97</v>
      </c>
      <c r="C10" s="6">
        <v>50</v>
      </c>
      <c r="D10" s="8" t="s">
        <v>67</v>
      </c>
      <c r="E10" s="8" t="s">
        <v>67</v>
      </c>
      <c r="F10" s="5" t="s">
        <v>77</v>
      </c>
      <c r="G10" s="4"/>
      <c r="H10" s="4"/>
      <c r="I10" s="6">
        <f>IF(AND(D10="☑",E10="☑",G10&lt;&gt;"",COUNTIF($G$6:$G$14,G10)=1),C10,0)</f>
        <v>0</v>
      </c>
      <c r="J10" s="6" t="str">
        <f>IF(D10="☐","UNSELECTED",IF(I10&gt;0,"OK","MISSING"))</f>
        <v>UNSELECTED</v>
      </c>
    </row>
    <row r="11" spans="1:11" ht="44" customHeight="1">
      <c r="A11" s="5" t="s">
        <v>98</v>
      </c>
      <c r="B11" s="5" t="s">
        <v>99</v>
      </c>
      <c r="C11" s="6">
        <v>50</v>
      </c>
      <c r="D11" s="8" t="s">
        <v>67</v>
      </c>
      <c r="E11" s="8" t="s">
        <v>67</v>
      </c>
      <c r="F11" s="5" t="s">
        <v>77</v>
      </c>
      <c r="G11" s="4"/>
      <c r="H11" s="4"/>
      <c r="I11" s="6">
        <f>IF(AND(D11="☑",E11="☑",G11&lt;&gt;"",COUNTIF($G$6:$G$14,G11)=1),C11,0)</f>
        <v>0</v>
      </c>
      <c r="J11" s="6" t="str">
        <f>IF(D11="☐","UNSELECTED",IF(I11&gt;0,"OK","MISSING"))</f>
        <v>UNSELECTED</v>
      </c>
    </row>
    <row r="12" spans="1:11" ht="44" customHeight="1">
      <c r="A12" s="5" t="s">
        <v>100</v>
      </c>
      <c r="B12" s="5" t="s">
        <v>101</v>
      </c>
      <c r="C12" s="6">
        <v>25</v>
      </c>
      <c r="D12" s="8" t="s">
        <v>67</v>
      </c>
      <c r="E12" s="8" t="s">
        <v>67</v>
      </c>
      <c r="F12" s="5" t="s">
        <v>77</v>
      </c>
      <c r="G12" s="4"/>
      <c r="H12" s="4"/>
      <c r="I12" s="6">
        <f>IF(AND(D12="☑",E12="☑",G12&lt;&gt;"",COUNTIF($G$6:$G$14,G12)=1),C12,0)</f>
        <v>0</v>
      </c>
      <c r="J12" s="6" t="str">
        <f>IF(D12="☐","UNSELECTED",IF(I12&gt;0,"OK","MISSING"))</f>
        <v>UNSELECTED</v>
      </c>
    </row>
    <row r="13" spans="1:11" ht="44" customHeight="1">
      <c r="A13" s="5" t="s">
        <v>102</v>
      </c>
      <c r="B13" s="5" t="s">
        <v>103</v>
      </c>
      <c r="C13" s="6">
        <v>25</v>
      </c>
      <c r="D13" s="8" t="s">
        <v>67</v>
      </c>
      <c r="E13" s="8" t="s">
        <v>67</v>
      </c>
      <c r="F13" s="5" t="s">
        <v>77</v>
      </c>
      <c r="G13" s="4"/>
      <c r="H13" s="4"/>
      <c r="I13" s="6">
        <f>IF(AND(D13="☑",E13="☑",G13&lt;&gt;"",COUNTIF($G$6:$G$14,G13)=1),C13,0)</f>
        <v>0</v>
      </c>
      <c r="J13" s="6" t="str">
        <f>IF(D13="☐","UNSELECTED",IF(I13&gt;0,"OK","MISSING"))</f>
        <v>UNSELECTED</v>
      </c>
    </row>
    <row r="14" spans="1:11" ht="44" customHeight="1">
      <c r="A14" s="5" t="s">
        <v>104</v>
      </c>
      <c r="B14" s="5" t="s">
        <v>105</v>
      </c>
      <c r="C14" s="6">
        <v>10</v>
      </c>
      <c r="D14" s="8" t="s">
        <v>67</v>
      </c>
      <c r="E14" s="8" t="s">
        <v>67</v>
      </c>
      <c r="F14" s="5" t="s">
        <v>77</v>
      </c>
      <c r="G14" s="4"/>
      <c r="H14" s="4"/>
      <c r="I14" s="6">
        <f>IF(AND(D14="☑",E14="☑",G14&lt;&gt;"",COUNTIF($G$6:$G$14,G14)=1),C14,0)</f>
        <v>0</v>
      </c>
      <c r="J14" s="6" t="str">
        <f>IF(D14="☐","UNSELECTED",IF(I14&gt;0,"OK","MISSING"))</f>
        <v>UNSELECTED</v>
      </c>
    </row>
    <row r="16" spans="1:11" ht="27" customHeight="1">
      <c r="H16" s="2" t="s">
        <v>106</v>
      </c>
      <c r="I16" s="6">
        <f>SUM(I6:I14)</f>
        <v>0</v>
      </c>
    </row>
    <row r="17" spans="2:11" ht="27" customHeight="1">
      <c r="H17" s="2" t="s">
        <v>107</v>
      </c>
      <c r="I17" s="6" t="str">
        <f>IF(AND(COUNTIF(D6:D8,"☑")&lt;=1,COUNTIF(J6:J14,"MISSING")=0),"OK","MISSING")</f>
        <v>OK</v>
      </c>
    </row>
    <row r="19" spans="2:11" ht="27" customHeight="1">
      <c r="B19" s="3" t="s">
        <v>108</v>
      </c>
      <c r="C19" s="3"/>
      <c r="D19" s="3"/>
      <c r="E19" s="3"/>
      <c r="F19" s="3"/>
      <c r="G19" s="3"/>
      <c r="H19" s="3"/>
      <c r="I19" s="3"/>
      <c r="J19" s="3"/>
      <c r="K19" s="3"/>
    </row>
    <row r="20" spans="2:11" ht="27" customHeight="1">
      <c r="B20" s="3"/>
      <c r="C20" s="3"/>
      <c r="D20" s="3"/>
      <c r="E20" s="3"/>
      <c r="F20" s="3"/>
      <c r="G20" s="3"/>
      <c r="H20" s="3"/>
      <c r="I20" s="3"/>
      <c r="J20" s="3"/>
      <c r="K20" s="3"/>
    </row>
    <row r="21" spans="2:11" ht="27" customHeight="1">
      <c r="B21" s="3"/>
      <c r="C21" s="3"/>
      <c r="D21" s="3"/>
      <c r="E21" s="3"/>
      <c r="F21" s="3"/>
      <c r="G21" s="3"/>
      <c r="H21" s="3"/>
      <c r="I21" s="3"/>
      <c r="J21" s="3"/>
      <c r="K21" s="3"/>
    </row>
  </sheetData>
  <sheetProtection sheet="1" objects="1" scenarios="1" sort="0" autoFilter="0"/>
  <mergeCells count="3">
    <mergeCell ref="A1:K2"/>
    <mergeCell ref="A3:K4"/>
    <mergeCell ref="B19:K21"/>
  </mergeCells>
  <conditionalFormatting sqref="J6:J14">
    <cfRule type="containsText" dxfId="0" priority="1" operator="containsText" text="OK">
      <formula>NOT(ISERROR(SEARCH("OK",J6)))</formula>
    </cfRule>
    <cfRule type="containsText" dxfId="1" priority="2" operator="containsText" text="MISSING">
      <formula>NOT(ISERROR(SEARCH("MISSING",J6)))</formula>
    </cfRule>
  </conditionalFormatting>
  <dataValidations count="18">
    <dataValidation type="list" allowBlank="1" showInputMessage="1" showErrorMessage="1" errorTitle="Choose a tick" error="Choose ☐ or ☑ from the dropdown." sqref="D6">
      <formula1>"☐,☑"</formula1>
    </dataValidation>
    <dataValidation type="list" allowBlank="1" showInputMessage="1" showErrorMessage="1" errorTitle="Choose a tick" error="Choose ☐ or ☑ from the dropdown." sqref="E6">
      <formula1>"☐,☑"</formula1>
    </dataValidation>
    <dataValidation type="list" allowBlank="1" showInputMessage="1" showErrorMessage="1" errorTitle="Choose a tick" error="Choose ☐ or ☑ from the dropdown." sqref="D7">
      <formula1>"☐,☑"</formula1>
    </dataValidation>
    <dataValidation type="list" allowBlank="1" showInputMessage="1" showErrorMessage="1" errorTitle="Choose a tick" error="Choose ☐ or ☑ from the dropdown." sqref="E7">
      <formula1>"☐,☑"</formula1>
    </dataValidation>
    <dataValidation type="list" allowBlank="1" showInputMessage="1" showErrorMessage="1" errorTitle="Choose a tick" error="Choose ☐ or ☑ from the dropdown." sqref="D8">
      <formula1>"☐,☑"</formula1>
    </dataValidation>
    <dataValidation type="list" allowBlank="1" showInputMessage="1" showErrorMessage="1" errorTitle="Choose a tick" error="Choose ☐ or ☑ from the dropdown." sqref="E8">
      <formula1>"☐,☑"</formula1>
    </dataValidation>
    <dataValidation type="list" allowBlank="1" showInputMessage="1" showErrorMessage="1" errorTitle="Choose a tick" error="Choose ☐ or ☑ from the dropdown." sqref="D9">
      <formula1>"☐,☑"</formula1>
    </dataValidation>
    <dataValidation type="list" allowBlank="1" showInputMessage="1" showErrorMessage="1" errorTitle="Choose a tick" error="Choose ☐ or ☑ from the dropdown." sqref="E9">
      <formula1>"☐,☑"</formula1>
    </dataValidation>
    <dataValidation type="list" allowBlank="1" showInputMessage="1" showErrorMessage="1" errorTitle="Choose a tick" error="Choose ☐ or ☑ from the dropdown." sqref="D10">
      <formula1>"☐,☑"</formula1>
    </dataValidation>
    <dataValidation type="list" allowBlank="1" showInputMessage="1" showErrorMessage="1" errorTitle="Choose a tick" error="Choose ☐ or ☑ from the dropdown." sqref="E10">
      <formula1>"☐,☑"</formula1>
    </dataValidation>
    <dataValidation type="list" allowBlank="1" showInputMessage="1" showErrorMessage="1" errorTitle="Choose a tick" error="Choose ☐ or ☑ from the dropdown." sqref="D11">
      <formula1>"☐,☑"</formula1>
    </dataValidation>
    <dataValidation type="list" allowBlank="1" showInputMessage="1" showErrorMessage="1" errorTitle="Choose a tick" error="Choose ☐ or ☑ from the dropdown." sqref="E11">
      <formula1>"☐,☑"</formula1>
    </dataValidation>
    <dataValidation type="list" allowBlank="1" showInputMessage="1" showErrorMessage="1" errorTitle="Choose a tick" error="Choose ☐ or ☑ from the dropdown." sqref="D12">
      <formula1>"☐,☑"</formula1>
    </dataValidation>
    <dataValidation type="list" allowBlank="1" showInputMessage="1" showErrorMessage="1" errorTitle="Choose a tick" error="Choose ☐ or ☑ from the dropdown." sqref="E12">
      <formula1>"☐,☑"</formula1>
    </dataValidation>
    <dataValidation type="list" allowBlank="1" showInputMessage="1" showErrorMessage="1" errorTitle="Choose a tick" error="Choose ☐ or ☑ from the dropdown." sqref="D13">
      <formula1>"☐,☑"</formula1>
    </dataValidation>
    <dataValidation type="list" allowBlank="1" showInputMessage="1" showErrorMessage="1" errorTitle="Choose a tick" error="Choose ☐ or ☑ from the dropdown." sqref="E13">
      <formula1>"☐,☑"</formula1>
    </dataValidation>
    <dataValidation type="list" allowBlank="1" showInputMessage="1" showErrorMessage="1" errorTitle="Choose a tick" error="Choose ☐ or ☑ from the dropdown." sqref="D14">
      <formula1>"☐,☑"</formula1>
    </dataValidation>
    <dataValidation type="list" allowBlank="1" showInputMessage="1" showErrorMessage="1" errorTitle="Choose a tick" error="Choose ☐ or ☑ from the dropdown." sqref="E14">
      <formula1>"☐,☑"</formula1>
    </dataValidation>
  </dataValidations>
  <pageMargins left="0.3" right="0.3" top="0.4" bottom="0.4" header="0.3" footer="0.3"/>
  <pageSetup paperSize="9" fitToHeight="0" orientation="landscape"/>
  <headerFooter>
    <oddFooter>&amp;L Irish naturalisation tracker &amp;R 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K44"/>
  <sheetViews>
    <sheetView showGridLines="0" workbookViewId="0">
      <pane ySplit="5" topLeftCell="A6" activePane="bottomLeft" state="frozen"/>
      <selection pane="bottomLeft"/>
    </sheetView>
  </sheetViews>
  <sheetFormatPr defaultRowHeight="27" customHeight="1"/>
  <cols>
    <col min="1" max="1" width="8.7109375" customWidth="1"/>
    <col min="2" max="2" width="25.7109375" customWidth="1"/>
    <col min="3" max="3" width="18.7109375" customWidth="1"/>
    <col min="4" max="4" width="24.7109375" customWidth="1"/>
    <col min="5" max="7" width="18.7109375" customWidth="1"/>
    <col min="8" max="10" width="20.7109375" customWidth="1"/>
    <col min="11" max="11" width="36.7109375" customWidth="1"/>
  </cols>
  <sheetData>
    <row r="1" spans="1:11" ht="24" customHeight="1">
      <c r="A1" s="1" t="s">
        <v>3</v>
      </c>
      <c r="B1" s="1"/>
      <c r="C1" s="1"/>
      <c r="D1" s="1"/>
      <c r="E1" s="1"/>
      <c r="F1" s="1"/>
      <c r="G1" s="1"/>
      <c r="H1" s="1"/>
      <c r="I1" s="1"/>
      <c r="J1" s="1"/>
      <c r="K1" s="1"/>
    </row>
    <row r="2" spans="1:11" ht="18" customHeight="1">
      <c r="A2" s="1"/>
      <c r="B2" s="1"/>
      <c r="C2" s="1"/>
      <c r="D2" s="1"/>
      <c r="E2" s="1"/>
      <c r="F2" s="1"/>
      <c r="G2" s="1"/>
      <c r="H2" s="1"/>
      <c r="I2" s="1"/>
      <c r="J2" s="1"/>
      <c r="K2" s="1"/>
    </row>
    <row r="3" spans="1:11" ht="27" customHeight="1">
      <c r="A3" s="3" t="s">
        <v>109</v>
      </c>
      <c r="B3" s="3"/>
      <c r="C3" s="3"/>
      <c r="D3" s="3"/>
      <c r="E3" s="3"/>
      <c r="F3" s="3"/>
      <c r="G3" s="3"/>
      <c r="H3" s="3"/>
      <c r="I3" s="3"/>
      <c r="J3" s="3"/>
      <c r="K3" s="3"/>
    </row>
    <row r="4" spans="1:11" ht="27" customHeight="1">
      <c r="A4" s="3"/>
      <c r="B4" s="3"/>
      <c r="C4" s="3"/>
      <c r="D4" s="3"/>
      <c r="E4" s="3"/>
      <c r="F4" s="3"/>
      <c r="G4" s="3"/>
      <c r="H4" s="3"/>
      <c r="I4" s="3"/>
      <c r="J4" s="3"/>
      <c r="K4" s="3"/>
    </row>
    <row r="5" spans="1:11" ht="34" customHeight="1">
      <c r="A5" s="2" t="s">
        <v>110</v>
      </c>
      <c r="B5" s="2" t="s">
        <v>111</v>
      </c>
      <c r="C5" s="2" t="s">
        <v>112</v>
      </c>
      <c r="D5" s="2" t="s">
        <v>113</v>
      </c>
      <c r="E5" s="2" t="s">
        <v>114</v>
      </c>
      <c r="F5" s="2" t="s">
        <v>115</v>
      </c>
      <c r="G5" s="2" t="s">
        <v>116</v>
      </c>
      <c r="H5" s="2" t="s">
        <v>117</v>
      </c>
      <c r="I5" s="2" t="s">
        <v>118</v>
      </c>
      <c r="J5" s="2" t="s">
        <v>119</v>
      </c>
      <c r="K5" s="2" t="s">
        <v>84</v>
      </c>
    </row>
    <row r="6" spans="1:11" ht="36" customHeight="1">
      <c r="A6" s="5">
        <v>1</v>
      </c>
      <c r="B6" s="4"/>
      <c r="C6" s="4" t="s">
        <v>120</v>
      </c>
      <c r="D6" s="6" t="str">
        <f>IF(OR(A6&lt;=Dashboard!$C$6,C6="Yes"),"Yes","No")</f>
        <v>Yes</v>
      </c>
      <c r="E6" s="6">
        <f>IF(D6="Yes",SUMIF($D$22:$D$23,"A",$I$22:$I$23),0)</f>
        <v>0</v>
      </c>
      <c r="F6" s="6">
        <f>IF(D6="Yes",SUMIF($D$22:$D$23,"B",$I$22:$I$23),0)</f>
        <v>0</v>
      </c>
      <c r="G6" s="6">
        <f>E6+F6</f>
        <v>0</v>
      </c>
      <c r="H6" s="6">
        <f>IF(D6="Yes",MAX(0,150-G6),0)</f>
        <v>150</v>
      </c>
      <c r="I6" s="6" t="str">
        <f>IF(D6="No","NOT USED",IF(AND(B6&lt;&gt;"",COUNTIF($B$6:$B$14,B6)=1,E6&gt;=100,F6&gt;=50,COUNTIF($J$22:$J$23,"MISSING")=0),"OK","MISSING"))</f>
        <v>MISSING</v>
      </c>
      <c r="J6" s="5" t="s">
        <v>121</v>
      </c>
      <c r="K6" s="4"/>
    </row>
    <row r="7" spans="1:11" ht="36" customHeight="1">
      <c r="A7" s="5">
        <v>2</v>
      </c>
      <c r="B7" s="4"/>
      <c r="C7" s="4" t="s">
        <v>120</v>
      </c>
      <c r="D7" s="6" t="str">
        <f>IF(OR(A7&lt;=Dashboard!$C$6,C7="Yes"),"Yes","No")</f>
        <v>Yes</v>
      </c>
      <c r="E7" s="6">
        <f>IF(D7="Yes",SUMIF($D$24:$D$25,"A",$I$24:$I$25),0)</f>
        <v>0</v>
      </c>
      <c r="F7" s="6">
        <f>IF(D7="Yes",SUMIF($D$24:$D$25,"B",$I$24:$I$25),0)</f>
        <v>0</v>
      </c>
      <c r="G7" s="6">
        <f>E7+F7</f>
        <v>0</v>
      </c>
      <c r="H7" s="6">
        <f>IF(D7="Yes",MAX(0,150-G7),0)</f>
        <v>150</v>
      </c>
      <c r="I7" s="6" t="str">
        <f>IF(D7="No","NOT USED",IF(AND(B7&lt;&gt;"",COUNTIF($B$6:$B$14,B7)=1,E7&gt;=100,F7&gt;=50,COUNTIF($J$24:$J$25,"MISSING")=0),"OK","MISSING"))</f>
        <v>MISSING</v>
      </c>
      <c r="J7" s="5" t="s">
        <v>122</v>
      </c>
      <c r="K7" s="4"/>
    </row>
    <row r="8" spans="1:11" ht="36" customHeight="1">
      <c r="A8" s="5">
        <v>3</v>
      </c>
      <c r="B8" s="4"/>
      <c r="C8" s="4" t="s">
        <v>120</v>
      </c>
      <c r="D8" s="6" t="str">
        <f>IF(OR(A8&lt;=Dashboard!$C$6,C8="Yes"),"Yes","No")</f>
        <v>Yes</v>
      </c>
      <c r="E8" s="6">
        <f>IF(D8="Yes",SUMIF($D$26:$D$27,"A",$I$26:$I$27),0)</f>
        <v>0</v>
      </c>
      <c r="F8" s="6">
        <f>IF(D8="Yes",SUMIF($D$26:$D$27,"B",$I$26:$I$27),0)</f>
        <v>0</v>
      </c>
      <c r="G8" s="6">
        <f>E8+F8</f>
        <v>0</v>
      </c>
      <c r="H8" s="6">
        <f>IF(D8="Yes",MAX(0,150-G8),0)</f>
        <v>150</v>
      </c>
      <c r="I8" s="6" t="str">
        <f>IF(D8="No","NOT USED",IF(AND(B8&lt;&gt;"",COUNTIF($B$6:$B$14,B8)=1,E8&gt;=100,F8&gt;=50,COUNTIF($J$26:$J$27,"MISSING")=0),"OK","MISSING"))</f>
        <v>MISSING</v>
      </c>
      <c r="J8" s="5" t="s">
        <v>123</v>
      </c>
      <c r="K8" s="4"/>
    </row>
    <row r="9" spans="1:11" ht="36" customHeight="1">
      <c r="A9" s="5">
        <v>4</v>
      </c>
      <c r="B9" s="4"/>
      <c r="C9" s="4" t="s">
        <v>120</v>
      </c>
      <c r="D9" s="6" t="str">
        <f>IF(OR(A9&lt;=Dashboard!$C$6,C9="Yes"),"Yes","No")</f>
        <v>Yes</v>
      </c>
      <c r="E9" s="6">
        <f>IF(D9="Yes",SUMIF($D$28:$D$29,"A",$I$28:$I$29),0)</f>
        <v>0</v>
      </c>
      <c r="F9" s="6">
        <f>IF(D9="Yes",SUMIF($D$28:$D$29,"B",$I$28:$I$29),0)</f>
        <v>0</v>
      </c>
      <c r="G9" s="6">
        <f>E9+F9</f>
        <v>0</v>
      </c>
      <c r="H9" s="6">
        <f>IF(D9="Yes",MAX(0,150-G9),0)</f>
        <v>150</v>
      </c>
      <c r="I9" s="6" t="str">
        <f>IF(D9="No","NOT USED",IF(AND(B9&lt;&gt;"",COUNTIF($B$6:$B$14,B9)=1,E9&gt;=100,F9&gt;=50,COUNTIF($J$28:$J$29,"MISSING")=0),"OK","MISSING"))</f>
        <v>MISSING</v>
      </c>
      <c r="J9" s="5" t="s">
        <v>124</v>
      </c>
      <c r="K9" s="4"/>
    </row>
    <row r="10" spans="1:11" ht="36" customHeight="1">
      <c r="A10" s="5">
        <v>5</v>
      </c>
      <c r="B10" s="4"/>
      <c r="C10" s="4" t="s">
        <v>120</v>
      </c>
      <c r="D10" s="6" t="str">
        <f>IF(OR(A10&lt;=Dashboard!$C$6,C10="Yes"),"Yes","No")</f>
        <v>Yes</v>
      </c>
      <c r="E10" s="6">
        <f>IF(D10="Yes",SUMIF($D$30:$D$31,"A",$I$30:$I$31),0)</f>
        <v>0</v>
      </c>
      <c r="F10" s="6">
        <f>IF(D10="Yes",SUMIF($D$30:$D$31,"B",$I$30:$I$31),0)</f>
        <v>0</v>
      </c>
      <c r="G10" s="6">
        <f>E10+F10</f>
        <v>0</v>
      </c>
      <c r="H10" s="6">
        <f>IF(D10="Yes",MAX(0,150-G10),0)</f>
        <v>150</v>
      </c>
      <c r="I10" s="6" t="str">
        <f>IF(D10="No","NOT USED",IF(AND(B10&lt;&gt;"",COUNTIF($B$6:$B$14,B10)=1,E10&gt;=100,F10&gt;=50,COUNTIF($J$30:$J$31,"MISSING")=0),"OK","MISSING"))</f>
        <v>MISSING</v>
      </c>
      <c r="J10" s="5" t="s">
        <v>125</v>
      </c>
      <c r="K10" s="4"/>
    </row>
    <row r="11" spans="1:11" ht="36" customHeight="1">
      <c r="A11" s="5">
        <v>6</v>
      </c>
      <c r="B11" s="4"/>
      <c r="C11" s="4" t="s">
        <v>120</v>
      </c>
      <c r="D11" s="6" t="str">
        <f>IF(OR(A11&lt;=Dashboard!$C$6,C11="Yes"),"Yes","No")</f>
        <v>No</v>
      </c>
      <c r="E11" s="6">
        <f>IF(D11="Yes",SUMIF($D$32:$D$33,"A",$I$32:$I$33),0)</f>
        <v>0</v>
      </c>
      <c r="F11" s="6">
        <f>IF(D11="Yes",SUMIF($D$32:$D$33,"B",$I$32:$I$33),0)</f>
        <v>0</v>
      </c>
      <c r="G11" s="6">
        <f>E11+F11</f>
        <v>0</v>
      </c>
      <c r="H11" s="6">
        <f>IF(D11="Yes",MAX(0,150-G11),0)</f>
        <v>0</v>
      </c>
      <c r="I11" s="6" t="str">
        <f>IF(D11="No","NOT USED",IF(AND(B11&lt;&gt;"",COUNTIF($B$6:$B$14,B11)=1,E11&gt;=100,F11&gt;=50,COUNTIF($J$32:$J$33,"MISSING")=0),"OK","MISSING"))</f>
        <v>NOT USED</v>
      </c>
      <c r="J11" s="5" t="s">
        <v>126</v>
      </c>
      <c r="K11" s="4"/>
    </row>
    <row r="12" spans="1:11" ht="36" customHeight="1">
      <c r="A12" s="5">
        <v>7</v>
      </c>
      <c r="B12" s="4"/>
      <c r="C12" s="4" t="s">
        <v>120</v>
      </c>
      <c r="D12" s="6" t="str">
        <f>IF(OR(A12&lt;=Dashboard!$C$6,C12="Yes"),"Yes","No")</f>
        <v>No</v>
      </c>
      <c r="E12" s="6">
        <f>IF(D12="Yes",SUMIF($D$34:$D$35,"A",$I$34:$I$35),0)</f>
        <v>0</v>
      </c>
      <c r="F12" s="6">
        <f>IF(D12="Yes",SUMIF($D$34:$D$35,"B",$I$34:$I$35),0)</f>
        <v>0</v>
      </c>
      <c r="G12" s="6">
        <f>E12+F12</f>
        <v>0</v>
      </c>
      <c r="H12" s="6">
        <f>IF(D12="Yes",MAX(0,150-G12),0)</f>
        <v>0</v>
      </c>
      <c r="I12" s="6" t="str">
        <f>IF(D12="No","NOT USED",IF(AND(B12&lt;&gt;"",COUNTIF($B$6:$B$14,B12)=1,E12&gt;=100,F12&gt;=50,COUNTIF($J$34:$J$35,"MISSING")=0),"OK","MISSING"))</f>
        <v>NOT USED</v>
      </c>
      <c r="J12" s="5" t="s">
        <v>127</v>
      </c>
      <c r="K12" s="4"/>
    </row>
    <row r="13" spans="1:11" ht="36" customHeight="1">
      <c r="A13" s="5">
        <v>8</v>
      </c>
      <c r="B13" s="4"/>
      <c r="C13" s="4" t="s">
        <v>120</v>
      </c>
      <c r="D13" s="6" t="str">
        <f>IF(OR(A13&lt;=Dashboard!$C$6,C13="Yes"),"Yes","No")</f>
        <v>No</v>
      </c>
      <c r="E13" s="6">
        <f>IF(D13="Yes",SUMIF($D$36:$D$37,"A",$I$36:$I$37),0)</f>
        <v>0</v>
      </c>
      <c r="F13" s="6">
        <f>IF(D13="Yes",SUMIF($D$36:$D$37,"B",$I$36:$I$37),0)</f>
        <v>0</v>
      </c>
      <c r="G13" s="6">
        <f>E13+F13</f>
        <v>0</v>
      </c>
      <c r="H13" s="6">
        <f>IF(D13="Yes",MAX(0,150-G13),0)</f>
        <v>0</v>
      </c>
      <c r="I13" s="6" t="str">
        <f>IF(D13="No","NOT USED",IF(AND(B13&lt;&gt;"",COUNTIF($B$6:$B$14,B13)=1,E13&gt;=100,F13&gt;=50,COUNTIF($J$36:$J$37,"MISSING")=0),"OK","MISSING"))</f>
        <v>NOT USED</v>
      </c>
      <c r="J13" s="5" t="s">
        <v>128</v>
      </c>
      <c r="K13" s="4"/>
    </row>
    <row r="14" spans="1:11" ht="36" customHeight="1">
      <c r="A14" s="5">
        <v>9</v>
      </c>
      <c r="B14" s="4"/>
      <c r="C14" s="4" t="s">
        <v>120</v>
      </c>
      <c r="D14" s="6" t="str">
        <f>IF(OR(A14&lt;=Dashboard!$C$6,C14="Yes"),"Yes","No")</f>
        <v>No</v>
      </c>
      <c r="E14" s="6">
        <f>IF(D14="Yes",SUMIF($D$38:$D$39,"A",$I$38:$I$39),0)</f>
        <v>0</v>
      </c>
      <c r="F14" s="6">
        <f>IF(D14="Yes",SUMIF($D$38:$D$39,"B",$I$38:$I$39),0)</f>
        <v>0</v>
      </c>
      <c r="G14" s="6">
        <f>E14+F14</f>
        <v>0</v>
      </c>
      <c r="H14" s="6">
        <f>IF(D14="Yes",MAX(0,150-G14),0)</f>
        <v>0</v>
      </c>
      <c r="I14" s="6" t="str">
        <f>IF(D14="No","NOT USED",IF(AND(B14&lt;&gt;"",COUNTIF($B$6:$B$14,B14)=1,E14&gt;=100,F14&gt;=50,COUNTIF($J$38:$J$39,"MISSING")=0),"OK","MISSING"))</f>
        <v>NOT USED</v>
      </c>
      <c r="J14" s="5" t="s">
        <v>129</v>
      </c>
      <c r="K14" s="4"/>
    </row>
    <row r="18" spans="1:11" ht="27" customHeight="1">
      <c r="I18" s="2" t="s">
        <v>130</v>
      </c>
      <c r="J18" s="6" t="str">
        <f>IF(AND(COUNTIF(D6:D14,"Yes")&gt;=Dashboard!C6,COUNTIF(I6:I14,"MISSING")=0),"OK","MISSING")</f>
        <v>MISSING</v>
      </c>
    </row>
    <row r="21" spans="1:11" ht="34" customHeight="1">
      <c r="A21" s="2" t="s">
        <v>110</v>
      </c>
      <c r="B21" s="2" t="s">
        <v>131</v>
      </c>
      <c r="C21" s="2" t="s">
        <v>132</v>
      </c>
      <c r="D21" s="2" t="s">
        <v>10</v>
      </c>
      <c r="E21" s="2" t="s">
        <v>79</v>
      </c>
      <c r="F21" s="2" t="s">
        <v>80</v>
      </c>
      <c r="G21" s="2" t="s">
        <v>81</v>
      </c>
      <c r="H21" s="2" t="s">
        <v>83</v>
      </c>
      <c r="I21" s="2" t="s">
        <v>85</v>
      </c>
      <c r="J21" s="2" t="s">
        <v>133</v>
      </c>
      <c r="K21" s="2" t="s">
        <v>134</v>
      </c>
    </row>
    <row r="22" spans="1:11" ht="48" customHeight="1">
      <c r="A22" s="5">
        <v>1</v>
      </c>
      <c r="B22" s="6">
        <f>IF($B$6="","",$B$6)</f>
        <v/>
      </c>
      <c r="C22" s="4"/>
      <c r="D22" s="6">
        <f>IFERROR(VLOOKUP(C22,Lists!$A$6:$C$16,3,FALSE),"")</f>
        <v/>
      </c>
      <c r="E22" s="6">
        <f>IFERROR(VLOOKUP(C22,Lists!$A$6:$C$16,2,FALSE),0)</f>
        <v>0</v>
      </c>
      <c r="F22" s="8" t="s">
        <v>67</v>
      </c>
      <c r="G22" s="8" t="s">
        <v>67</v>
      </c>
      <c r="H22" s="4"/>
      <c r="I22" s="6">
        <f>IF(AND($D$6="Yes",F22="☑",G22="☑",C22&lt;&gt;"",H22&lt;&gt;"",COUNTIF($H$22:$H$39,H22)=1),E22,0)</f>
        <v>0</v>
      </c>
      <c r="J22" s="6" t="str">
        <f>IF($D$6="No","NOT USED",IF(I22&gt;0,"OK","MISSING"))</f>
        <v>MISSING</v>
      </c>
      <c r="K22" s="4"/>
    </row>
    <row r="23" spans="1:11" ht="48" customHeight="1">
      <c r="A23" s="5">
        <v>1</v>
      </c>
      <c r="B23" s="6">
        <f>IF($B$6="","",$B$6)</f>
        <v/>
      </c>
      <c r="C23" s="4"/>
      <c r="D23" s="6">
        <f>IFERROR(VLOOKUP(C23,Lists!$A$6:$C$16,3,FALSE),"")</f>
        <v/>
      </c>
      <c r="E23" s="6">
        <f>IFERROR(VLOOKUP(C23,Lists!$A$6:$C$16,2,FALSE),0)</f>
        <v>0</v>
      </c>
      <c r="F23" s="8" t="s">
        <v>67</v>
      </c>
      <c r="G23" s="8" t="s">
        <v>67</v>
      </c>
      <c r="H23" s="4"/>
      <c r="I23" s="6">
        <f>IF(AND($D$6="Yes",F23="☑",G23="☑",C23&lt;&gt;"",H23&lt;&gt;"",COUNTIF($H$22:$H$39,H23)=1),E23,0)</f>
        <v>0</v>
      </c>
      <c r="J23" s="6" t="str">
        <f>IF($D$6="No","NOT USED",IF(I23&gt;0,"OK","MISSING"))</f>
        <v>MISSING</v>
      </c>
      <c r="K23" s="4"/>
    </row>
    <row r="24" spans="1:11" ht="48" customHeight="1">
      <c r="A24" s="5">
        <v>2</v>
      </c>
      <c r="B24" s="6">
        <f>IF($B$7="","",$B$7)</f>
        <v/>
      </c>
      <c r="C24" s="4"/>
      <c r="D24" s="6">
        <f>IFERROR(VLOOKUP(C24,Lists!$A$6:$C$16,3,FALSE),"")</f>
        <v/>
      </c>
      <c r="E24" s="6">
        <f>IFERROR(VLOOKUP(C24,Lists!$A$6:$C$16,2,FALSE),0)</f>
        <v>0</v>
      </c>
      <c r="F24" s="8" t="s">
        <v>67</v>
      </c>
      <c r="G24" s="8" t="s">
        <v>67</v>
      </c>
      <c r="H24" s="4"/>
      <c r="I24" s="6">
        <f>IF(AND($D$7="Yes",F24="☑",G24="☑",C24&lt;&gt;"",H24&lt;&gt;"",COUNTIF($H$22:$H$39,H24)=1),E24,0)</f>
        <v>0</v>
      </c>
      <c r="J24" s="6" t="str">
        <f>IF($D$7="No","NOT USED",IF(I24&gt;0,"OK","MISSING"))</f>
        <v>MISSING</v>
      </c>
      <c r="K24" s="4"/>
    </row>
    <row r="25" spans="1:11" ht="48" customHeight="1">
      <c r="A25" s="5">
        <v>2</v>
      </c>
      <c r="B25" s="6">
        <f>IF($B$7="","",$B$7)</f>
        <v/>
      </c>
      <c r="C25" s="4"/>
      <c r="D25" s="6">
        <f>IFERROR(VLOOKUP(C25,Lists!$A$6:$C$16,3,FALSE),"")</f>
        <v/>
      </c>
      <c r="E25" s="6">
        <f>IFERROR(VLOOKUP(C25,Lists!$A$6:$C$16,2,FALSE),0)</f>
        <v>0</v>
      </c>
      <c r="F25" s="8" t="s">
        <v>67</v>
      </c>
      <c r="G25" s="8" t="s">
        <v>67</v>
      </c>
      <c r="H25" s="4"/>
      <c r="I25" s="6">
        <f>IF(AND($D$7="Yes",F25="☑",G25="☑",C25&lt;&gt;"",H25&lt;&gt;"",COUNTIF($H$22:$H$39,H25)=1),E25,0)</f>
        <v>0</v>
      </c>
      <c r="J25" s="6" t="str">
        <f>IF($D$7="No","NOT USED",IF(I25&gt;0,"OK","MISSING"))</f>
        <v>MISSING</v>
      </c>
      <c r="K25" s="4"/>
    </row>
    <row r="26" spans="1:11" ht="48" customHeight="1">
      <c r="A26" s="5">
        <v>3</v>
      </c>
      <c r="B26" s="6">
        <f>IF($B$8="","",$B$8)</f>
        <v/>
      </c>
      <c r="C26" s="4"/>
      <c r="D26" s="6">
        <f>IFERROR(VLOOKUP(C26,Lists!$A$6:$C$16,3,FALSE),"")</f>
        <v/>
      </c>
      <c r="E26" s="6">
        <f>IFERROR(VLOOKUP(C26,Lists!$A$6:$C$16,2,FALSE),0)</f>
        <v>0</v>
      </c>
      <c r="F26" s="8" t="s">
        <v>67</v>
      </c>
      <c r="G26" s="8" t="s">
        <v>67</v>
      </c>
      <c r="H26" s="4"/>
      <c r="I26" s="6">
        <f>IF(AND($D$8="Yes",F26="☑",G26="☑",C26&lt;&gt;"",H26&lt;&gt;"",COUNTIF($H$22:$H$39,H26)=1),E26,0)</f>
        <v>0</v>
      </c>
      <c r="J26" s="6" t="str">
        <f>IF($D$8="No","NOT USED",IF(I26&gt;0,"OK","MISSING"))</f>
        <v>MISSING</v>
      </c>
      <c r="K26" s="4"/>
    </row>
    <row r="27" spans="1:11" ht="48" customHeight="1">
      <c r="A27" s="5">
        <v>3</v>
      </c>
      <c r="B27" s="6">
        <f>IF($B$8="","",$B$8)</f>
        <v/>
      </c>
      <c r="C27" s="4"/>
      <c r="D27" s="6">
        <f>IFERROR(VLOOKUP(C27,Lists!$A$6:$C$16,3,FALSE),"")</f>
        <v/>
      </c>
      <c r="E27" s="6">
        <f>IFERROR(VLOOKUP(C27,Lists!$A$6:$C$16,2,FALSE),0)</f>
        <v>0</v>
      </c>
      <c r="F27" s="8" t="s">
        <v>67</v>
      </c>
      <c r="G27" s="8" t="s">
        <v>67</v>
      </c>
      <c r="H27" s="4"/>
      <c r="I27" s="6">
        <f>IF(AND($D$8="Yes",F27="☑",G27="☑",C27&lt;&gt;"",H27&lt;&gt;"",COUNTIF($H$22:$H$39,H27)=1),E27,0)</f>
        <v>0</v>
      </c>
      <c r="J27" s="6" t="str">
        <f>IF($D$8="No","NOT USED",IF(I27&gt;0,"OK","MISSING"))</f>
        <v>MISSING</v>
      </c>
      <c r="K27" s="4"/>
    </row>
    <row r="28" spans="1:11" ht="48" customHeight="1">
      <c r="A28" s="5">
        <v>4</v>
      </c>
      <c r="B28" s="6">
        <f>IF($B$9="","",$B$9)</f>
        <v/>
      </c>
      <c r="C28" s="4"/>
      <c r="D28" s="6">
        <f>IFERROR(VLOOKUP(C28,Lists!$A$6:$C$16,3,FALSE),"")</f>
        <v/>
      </c>
      <c r="E28" s="6">
        <f>IFERROR(VLOOKUP(C28,Lists!$A$6:$C$16,2,FALSE),0)</f>
        <v>0</v>
      </c>
      <c r="F28" s="8" t="s">
        <v>67</v>
      </c>
      <c r="G28" s="8" t="s">
        <v>67</v>
      </c>
      <c r="H28" s="4"/>
      <c r="I28" s="6">
        <f>IF(AND($D$9="Yes",F28="☑",G28="☑",C28&lt;&gt;"",H28&lt;&gt;"",COUNTIF($H$22:$H$39,H28)=1),E28,0)</f>
        <v>0</v>
      </c>
      <c r="J28" s="6" t="str">
        <f>IF($D$9="No","NOT USED",IF(I28&gt;0,"OK","MISSING"))</f>
        <v>MISSING</v>
      </c>
      <c r="K28" s="4"/>
    </row>
    <row r="29" spans="1:11" ht="48" customHeight="1">
      <c r="A29" s="5">
        <v>4</v>
      </c>
      <c r="B29" s="6">
        <f>IF($B$9="","",$B$9)</f>
        <v/>
      </c>
      <c r="C29" s="4"/>
      <c r="D29" s="6">
        <f>IFERROR(VLOOKUP(C29,Lists!$A$6:$C$16,3,FALSE),"")</f>
        <v/>
      </c>
      <c r="E29" s="6">
        <f>IFERROR(VLOOKUP(C29,Lists!$A$6:$C$16,2,FALSE),0)</f>
        <v>0</v>
      </c>
      <c r="F29" s="8" t="s">
        <v>67</v>
      </c>
      <c r="G29" s="8" t="s">
        <v>67</v>
      </c>
      <c r="H29" s="4"/>
      <c r="I29" s="6">
        <f>IF(AND($D$9="Yes",F29="☑",G29="☑",C29&lt;&gt;"",H29&lt;&gt;"",COUNTIF($H$22:$H$39,H29)=1),E29,0)</f>
        <v>0</v>
      </c>
      <c r="J29" s="6" t="str">
        <f>IF($D$9="No","NOT USED",IF(I29&gt;0,"OK","MISSING"))</f>
        <v>MISSING</v>
      </c>
      <c r="K29" s="4"/>
    </row>
    <row r="30" spans="1:11" ht="48" customHeight="1">
      <c r="A30" s="5">
        <v>5</v>
      </c>
      <c r="B30" s="6">
        <f>IF($B$10="","",$B$10)</f>
        <v/>
      </c>
      <c r="C30" s="4"/>
      <c r="D30" s="6">
        <f>IFERROR(VLOOKUP(C30,Lists!$A$6:$C$16,3,FALSE),"")</f>
        <v/>
      </c>
      <c r="E30" s="6">
        <f>IFERROR(VLOOKUP(C30,Lists!$A$6:$C$16,2,FALSE),0)</f>
        <v>0</v>
      </c>
      <c r="F30" s="8" t="s">
        <v>67</v>
      </c>
      <c r="G30" s="8" t="s">
        <v>67</v>
      </c>
      <c r="H30" s="4"/>
      <c r="I30" s="6">
        <f>IF(AND($D$10="Yes",F30="☑",G30="☑",C30&lt;&gt;"",H30&lt;&gt;"",COUNTIF($H$22:$H$39,H30)=1),E30,0)</f>
        <v>0</v>
      </c>
      <c r="J30" s="6" t="str">
        <f>IF($D$10="No","NOT USED",IF(I30&gt;0,"OK","MISSING"))</f>
        <v>MISSING</v>
      </c>
      <c r="K30" s="4"/>
    </row>
    <row r="31" spans="1:11" ht="48" customHeight="1">
      <c r="A31" s="5">
        <v>5</v>
      </c>
      <c r="B31" s="6">
        <f>IF($B$10="","",$B$10)</f>
        <v/>
      </c>
      <c r="C31" s="4"/>
      <c r="D31" s="6">
        <f>IFERROR(VLOOKUP(C31,Lists!$A$6:$C$16,3,FALSE),"")</f>
        <v/>
      </c>
      <c r="E31" s="6">
        <f>IFERROR(VLOOKUP(C31,Lists!$A$6:$C$16,2,FALSE),0)</f>
        <v>0</v>
      </c>
      <c r="F31" s="8" t="s">
        <v>67</v>
      </c>
      <c r="G31" s="8" t="s">
        <v>67</v>
      </c>
      <c r="H31" s="4"/>
      <c r="I31" s="6">
        <f>IF(AND($D$10="Yes",F31="☑",G31="☑",C31&lt;&gt;"",H31&lt;&gt;"",COUNTIF($H$22:$H$39,H31)=1),E31,0)</f>
        <v>0</v>
      </c>
      <c r="J31" s="6" t="str">
        <f>IF($D$10="No","NOT USED",IF(I31&gt;0,"OK","MISSING"))</f>
        <v>MISSING</v>
      </c>
      <c r="K31" s="4"/>
    </row>
    <row r="32" spans="1:11" ht="48" customHeight="1">
      <c r="A32" s="5">
        <v>6</v>
      </c>
      <c r="B32" s="6">
        <f>IF($B$11="","",$B$11)</f>
        <v/>
      </c>
      <c r="C32" s="4"/>
      <c r="D32" s="6">
        <f>IFERROR(VLOOKUP(C32,Lists!$A$6:$C$16,3,FALSE),"")</f>
        <v/>
      </c>
      <c r="E32" s="6">
        <f>IFERROR(VLOOKUP(C32,Lists!$A$6:$C$16,2,FALSE),0)</f>
        <v>0</v>
      </c>
      <c r="F32" s="8" t="s">
        <v>67</v>
      </c>
      <c r="G32" s="8" t="s">
        <v>67</v>
      </c>
      <c r="H32" s="4"/>
      <c r="I32" s="6">
        <f>IF(AND($D$11="Yes",F32="☑",G32="☑",C32&lt;&gt;"",H32&lt;&gt;"",COUNTIF($H$22:$H$39,H32)=1),E32,0)</f>
        <v>0</v>
      </c>
      <c r="J32" s="6" t="str">
        <f>IF($D$11="No","NOT USED",IF(I32&gt;0,"OK","MISSING"))</f>
        <v>NOT USED</v>
      </c>
      <c r="K32" s="4"/>
    </row>
    <row r="33" spans="1:11" ht="48" customHeight="1">
      <c r="A33" s="5">
        <v>6</v>
      </c>
      <c r="B33" s="6">
        <f>IF($B$11="","",$B$11)</f>
        <v/>
      </c>
      <c r="C33" s="4"/>
      <c r="D33" s="6">
        <f>IFERROR(VLOOKUP(C33,Lists!$A$6:$C$16,3,FALSE),"")</f>
        <v/>
      </c>
      <c r="E33" s="6">
        <f>IFERROR(VLOOKUP(C33,Lists!$A$6:$C$16,2,FALSE),0)</f>
        <v>0</v>
      </c>
      <c r="F33" s="8" t="s">
        <v>67</v>
      </c>
      <c r="G33" s="8" t="s">
        <v>67</v>
      </c>
      <c r="H33" s="4"/>
      <c r="I33" s="6">
        <f>IF(AND($D$11="Yes",F33="☑",G33="☑",C33&lt;&gt;"",H33&lt;&gt;"",COUNTIF($H$22:$H$39,H33)=1),E33,0)</f>
        <v>0</v>
      </c>
      <c r="J33" s="6" t="str">
        <f>IF($D$11="No","NOT USED",IF(I33&gt;0,"OK","MISSING"))</f>
        <v>NOT USED</v>
      </c>
      <c r="K33" s="4"/>
    </row>
    <row r="34" spans="1:11" ht="48" customHeight="1">
      <c r="A34" s="5">
        <v>7</v>
      </c>
      <c r="B34" s="6">
        <f>IF($B$12="","",$B$12)</f>
        <v/>
      </c>
      <c r="C34" s="4"/>
      <c r="D34" s="6">
        <f>IFERROR(VLOOKUP(C34,Lists!$A$6:$C$16,3,FALSE),"")</f>
        <v/>
      </c>
      <c r="E34" s="6">
        <f>IFERROR(VLOOKUP(C34,Lists!$A$6:$C$16,2,FALSE),0)</f>
        <v>0</v>
      </c>
      <c r="F34" s="8" t="s">
        <v>67</v>
      </c>
      <c r="G34" s="8" t="s">
        <v>67</v>
      </c>
      <c r="H34" s="4"/>
      <c r="I34" s="6">
        <f>IF(AND($D$12="Yes",F34="☑",G34="☑",C34&lt;&gt;"",H34&lt;&gt;"",COUNTIF($H$22:$H$39,H34)=1),E34,0)</f>
        <v>0</v>
      </c>
      <c r="J34" s="6" t="str">
        <f>IF($D$12="No","NOT USED",IF(I34&gt;0,"OK","MISSING"))</f>
        <v>NOT USED</v>
      </c>
      <c r="K34" s="4"/>
    </row>
    <row r="35" spans="1:11" ht="48" customHeight="1">
      <c r="A35" s="5">
        <v>7</v>
      </c>
      <c r="B35" s="6">
        <f>IF($B$12="","",$B$12)</f>
        <v/>
      </c>
      <c r="C35" s="4"/>
      <c r="D35" s="6">
        <f>IFERROR(VLOOKUP(C35,Lists!$A$6:$C$16,3,FALSE),"")</f>
        <v/>
      </c>
      <c r="E35" s="6">
        <f>IFERROR(VLOOKUP(C35,Lists!$A$6:$C$16,2,FALSE),0)</f>
        <v>0</v>
      </c>
      <c r="F35" s="8" t="s">
        <v>67</v>
      </c>
      <c r="G35" s="8" t="s">
        <v>67</v>
      </c>
      <c r="H35" s="4"/>
      <c r="I35" s="6">
        <f>IF(AND($D$12="Yes",F35="☑",G35="☑",C35&lt;&gt;"",H35&lt;&gt;"",COUNTIF($H$22:$H$39,H35)=1),E35,0)</f>
        <v>0</v>
      </c>
      <c r="J35" s="6" t="str">
        <f>IF($D$12="No","NOT USED",IF(I35&gt;0,"OK","MISSING"))</f>
        <v>NOT USED</v>
      </c>
      <c r="K35" s="4"/>
    </row>
    <row r="36" spans="1:11" ht="48" customHeight="1">
      <c r="A36" s="5">
        <v>8</v>
      </c>
      <c r="B36" s="6">
        <f>IF($B$13="","",$B$13)</f>
        <v/>
      </c>
      <c r="C36" s="4"/>
      <c r="D36" s="6">
        <f>IFERROR(VLOOKUP(C36,Lists!$A$6:$C$16,3,FALSE),"")</f>
        <v/>
      </c>
      <c r="E36" s="6">
        <f>IFERROR(VLOOKUP(C36,Lists!$A$6:$C$16,2,FALSE),0)</f>
        <v>0</v>
      </c>
      <c r="F36" s="8" t="s">
        <v>67</v>
      </c>
      <c r="G36" s="8" t="s">
        <v>67</v>
      </c>
      <c r="H36" s="4"/>
      <c r="I36" s="6">
        <f>IF(AND($D$13="Yes",F36="☑",G36="☑",C36&lt;&gt;"",H36&lt;&gt;"",COUNTIF($H$22:$H$39,H36)=1),E36,0)</f>
        <v>0</v>
      </c>
      <c r="J36" s="6" t="str">
        <f>IF($D$13="No","NOT USED",IF(I36&gt;0,"OK","MISSING"))</f>
        <v>NOT USED</v>
      </c>
      <c r="K36" s="4"/>
    </row>
    <row r="37" spans="1:11" ht="48" customHeight="1">
      <c r="A37" s="5">
        <v>8</v>
      </c>
      <c r="B37" s="6">
        <f>IF($B$13="","",$B$13)</f>
        <v/>
      </c>
      <c r="C37" s="4"/>
      <c r="D37" s="6">
        <f>IFERROR(VLOOKUP(C37,Lists!$A$6:$C$16,3,FALSE),"")</f>
        <v/>
      </c>
      <c r="E37" s="6">
        <f>IFERROR(VLOOKUP(C37,Lists!$A$6:$C$16,2,FALSE),0)</f>
        <v>0</v>
      </c>
      <c r="F37" s="8" t="s">
        <v>67</v>
      </c>
      <c r="G37" s="8" t="s">
        <v>67</v>
      </c>
      <c r="H37" s="4"/>
      <c r="I37" s="6">
        <f>IF(AND($D$13="Yes",F37="☑",G37="☑",C37&lt;&gt;"",H37&lt;&gt;"",COUNTIF($H$22:$H$39,H37)=1),E37,0)</f>
        <v>0</v>
      </c>
      <c r="J37" s="6" t="str">
        <f>IF($D$13="No","NOT USED",IF(I37&gt;0,"OK","MISSING"))</f>
        <v>NOT USED</v>
      </c>
      <c r="K37" s="4"/>
    </row>
    <row r="38" spans="1:11" ht="48" customHeight="1">
      <c r="A38" s="5">
        <v>9</v>
      </c>
      <c r="B38" s="6">
        <f>IF($B$14="","",$B$14)</f>
        <v/>
      </c>
      <c r="C38" s="4"/>
      <c r="D38" s="6">
        <f>IFERROR(VLOOKUP(C38,Lists!$A$6:$C$16,3,FALSE),"")</f>
        <v/>
      </c>
      <c r="E38" s="6">
        <f>IFERROR(VLOOKUP(C38,Lists!$A$6:$C$16,2,FALSE),0)</f>
        <v>0</v>
      </c>
      <c r="F38" s="8" t="s">
        <v>67</v>
      </c>
      <c r="G38" s="8" t="s">
        <v>67</v>
      </c>
      <c r="H38" s="4"/>
      <c r="I38" s="6">
        <f>IF(AND($D$14="Yes",F38="☑",G38="☑",C38&lt;&gt;"",H38&lt;&gt;"",COUNTIF($H$22:$H$39,H38)=1),E38,0)</f>
        <v>0</v>
      </c>
      <c r="J38" s="6" t="str">
        <f>IF($D$14="No","NOT USED",IF(I38&gt;0,"OK","MISSING"))</f>
        <v>NOT USED</v>
      </c>
      <c r="K38" s="4"/>
    </row>
    <row r="39" spans="1:11" ht="48" customHeight="1">
      <c r="A39" s="5">
        <v>9</v>
      </c>
      <c r="B39" s="6">
        <f>IF($B$14="","",$B$14)</f>
        <v/>
      </c>
      <c r="C39" s="4"/>
      <c r="D39" s="6">
        <f>IFERROR(VLOOKUP(C39,Lists!$A$6:$C$16,3,FALSE),"")</f>
        <v/>
      </c>
      <c r="E39" s="6">
        <f>IFERROR(VLOOKUP(C39,Lists!$A$6:$C$16,2,FALSE),0)</f>
        <v>0</v>
      </c>
      <c r="F39" s="8" t="s">
        <v>67</v>
      </c>
      <c r="G39" s="8" t="s">
        <v>67</v>
      </c>
      <c r="H39" s="4"/>
      <c r="I39" s="6">
        <f>IF(AND($D$14="Yes",F39="☑",G39="☑",C39&lt;&gt;"",H39&lt;&gt;"",COUNTIF($H$22:$H$39,H39)=1),E39,0)</f>
        <v>0</v>
      </c>
      <c r="J39" s="6" t="str">
        <f>IF($D$14="No","NOT USED",IF(I39&gt;0,"OK","MISSING"))</f>
        <v>NOT USED</v>
      </c>
      <c r="K39" s="4"/>
    </row>
    <row r="42" spans="1:11" ht="27" customHeight="1">
      <c r="B42" s="3" t="s">
        <v>135</v>
      </c>
      <c r="C42" s="3"/>
      <c r="D42" s="3"/>
      <c r="E42" s="3"/>
      <c r="F42" s="3"/>
      <c r="G42" s="3"/>
      <c r="H42" s="3"/>
      <c r="I42" s="3"/>
      <c r="J42" s="3"/>
      <c r="K42" s="3"/>
    </row>
    <row r="43" spans="1:11" ht="27" customHeight="1">
      <c r="B43" s="3"/>
      <c r="C43" s="3"/>
      <c r="D43" s="3"/>
      <c r="E43" s="3"/>
      <c r="F43" s="3"/>
      <c r="G43" s="3"/>
      <c r="H43" s="3"/>
      <c r="I43" s="3"/>
      <c r="J43" s="3"/>
      <c r="K43" s="3"/>
    </row>
    <row r="44" spans="1:11" ht="27" customHeight="1">
      <c r="B44" s="3"/>
      <c r="C44" s="3"/>
      <c r="D44" s="3"/>
      <c r="E44" s="3"/>
      <c r="F44" s="3"/>
      <c r="G44" s="3"/>
      <c r="H44" s="3"/>
      <c r="I44" s="3"/>
      <c r="J44" s="3"/>
      <c r="K44" s="3"/>
    </row>
  </sheetData>
  <sheetProtection sheet="1" objects="1" scenarios="1" sort="0" autoFilter="0"/>
  <autoFilter ref="A21:K39"/>
  <mergeCells count="3">
    <mergeCell ref="A1:K2"/>
    <mergeCell ref="A3:K4"/>
    <mergeCell ref="B42:K44"/>
  </mergeCells>
  <conditionalFormatting sqref="I6:I14">
    <cfRule type="containsText" dxfId="0" priority="1" operator="containsText" text="OK">
      <formula>NOT(ISERROR(SEARCH("OK",I6)))</formula>
    </cfRule>
    <cfRule type="containsText" dxfId="1" priority="2" operator="containsText" text="MISSING">
      <formula>NOT(ISERROR(SEARCH("MISSING",I6)))</formula>
    </cfRule>
  </conditionalFormatting>
  <conditionalFormatting sqref="J22:J39">
    <cfRule type="containsText" dxfId="0" priority="3" operator="containsText" text="OK">
      <formula>NOT(ISERROR(SEARCH("OK",J22)))</formula>
    </cfRule>
    <cfRule type="containsText" dxfId="1" priority="4" operator="containsText" text="MISSING">
      <formula>NOT(ISERROR(SEARCH("MISSING",J22)))</formula>
    </cfRule>
  </conditionalFormatting>
  <dataValidations count="63">
    <dataValidation type="list" allowBlank="1" showInputMessage="1" showErrorMessage="1" sqref="C6">
      <formula1>"No,Yes"</formula1>
    </dataValidation>
    <dataValidation type="list" allowBlank="1" showInputMessage="1" showErrorMessage="1" sqref="C7">
      <formula1>"No,Yes"</formula1>
    </dataValidation>
    <dataValidation type="list" allowBlank="1" showInputMessage="1" showErrorMessage="1" sqref="C8">
      <formula1>"No,Yes"</formula1>
    </dataValidation>
    <dataValidation type="list" allowBlank="1" showInputMessage="1" showErrorMessage="1" sqref="C9">
      <formula1>"No,Yes"</formula1>
    </dataValidation>
    <dataValidation type="list" allowBlank="1" showInputMessage="1" showErrorMessage="1" sqref="C10">
      <formula1>"No,Yes"</formula1>
    </dataValidation>
    <dataValidation type="list" allowBlank="1" showInputMessage="1" showErrorMessage="1" sqref="C11">
      <formula1>"No,Yes"</formula1>
    </dataValidation>
    <dataValidation type="list" allowBlank="1" showInputMessage="1" showErrorMessage="1" sqref="C12">
      <formula1>"No,Yes"</formula1>
    </dataValidation>
    <dataValidation type="list" allowBlank="1" showInputMessage="1" showErrorMessage="1" sqref="C13">
      <formula1>"No,Yes"</formula1>
    </dataValidation>
    <dataValidation type="list" allowBlank="1" showInputMessage="1" showErrorMessage="1" sqref="C14">
      <formula1>"No,Yes"</formula1>
    </dataValidation>
    <dataValidation type="list" allowBlank="1" showInputMessage="1" showErrorMessage="1" sqref="C22">
      <formula1>ResidenceTypes</formula1>
    </dataValidation>
    <dataValidation type="list" allowBlank="1" showInputMessage="1" showErrorMessage="1" errorTitle="Choose a tick" error="Choose ☐ or ☑ from the dropdown." sqref="F22">
      <formula1>"☐,☑"</formula1>
    </dataValidation>
    <dataValidation type="list" allowBlank="1" showInputMessage="1" showErrorMessage="1" errorTitle="Choose a tick" error="Choose ☐ or ☑ from the dropdown." sqref="G22">
      <formula1>"☐,☑"</formula1>
    </dataValidation>
    <dataValidation type="list" allowBlank="1" showInputMessage="1" showErrorMessage="1" sqref="C23">
      <formula1>ResidenceTypes</formula1>
    </dataValidation>
    <dataValidation type="list" allowBlank="1" showInputMessage="1" showErrorMessage="1" errorTitle="Choose a tick" error="Choose ☐ or ☑ from the dropdown." sqref="F23">
      <formula1>"☐,☑"</formula1>
    </dataValidation>
    <dataValidation type="list" allowBlank="1" showInputMessage="1" showErrorMessage="1" errorTitle="Choose a tick" error="Choose ☐ or ☑ from the dropdown." sqref="G23">
      <formula1>"☐,☑"</formula1>
    </dataValidation>
    <dataValidation type="list" allowBlank="1" showInputMessage="1" showErrorMessage="1" sqref="C24">
      <formula1>ResidenceTypes</formula1>
    </dataValidation>
    <dataValidation type="list" allowBlank="1" showInputMessage="1" showErrorMessage="1" errorTitle="Choose a tick" error="Choose ☐ or ☑ from the dropdown." sqref="F24">
      <formula1>"☐,☑"</formula1>
    </dataValidation>
    <dataValidation type="list" allowBlank="1" showInputMessage="1" showErrorMessage="1" errorTitle="Choose a tick" error="Choose ☐ or ☑ from the dropdown." sqref="G24">
      <formula1>"☐,☑"</formula1>
    </dataValidation>
    <dataValidation type="list" allowBlank="1" showInputMessage="1" showErrorMessage="1" sqref="C25">
      <formula1>ResidenceTypes</formula1>
    </dataValidation>
    <dataValidation type="list" allowBlank="1" showInputMessage="1" showErrorMessage="1" errorTitle="Choose a tick" error="Choose ☐ or ☑ from the dropdown." sqref="F25">
      <formula1>"☐,☑"</formula1>
    </dataValidation>
    <dataValidation type="list" allowBlank="1" showInputMessage="1" showErrorMessage="1" errorTitle="Choose a tick" error="Choose ☐ or ☑ from the dropdown." sqref="G25">
      <formula1>"☐,☑"</formula1>
    </dataValidation>
    <dataValidation type="list" allowBlank="1" showInputMessage="1" showErrorMessage="1" sqref="C26">
      <formula1>ResidenceTypes</formula1>
    </dataValidation>
    <dataValidation type="list" allowBlank="1" showInputMessage="1" showErrorMessage="1" errorTitle="Choose a tick" error="Choose ☐ or ☑ from the dropdown." sqref="F26">
      <formula1>"☐,☑"</formula1>
    </dataValidation>
    <dataValidation type="list" allowBlank="1" showInputMessage="1" showErrorMessage="1" errorTitle="Choose a tick" error="Choose ☐ or ☑ from the dropdown." sqref="G26">
      <formula1>"☐,☑"</formula1>
    </dataValidation>
    <dataValidation type="list" allowBlank="1" showInputMessage="1" showErrorMessage="1" sqref="C27">
      <formula1>ResidenceTypes</formula1>
    </dataValidation>
    <dataValidation type="list" allowBlank="1" showInputMessage="1" showErrorMessage="1" errorTitle="Choose a tick" error="Choose ☐ or ☑ from the dropdown." sqref="F27">
      <formula1>"☐,☑"</formula1>
    </dataValidation>
    <dataValidation type="list" allowBlank="1" showInputMessage="1" showErrorMessage="1" errorTitle="Choose a tick" error="Choose ☐ or ☑ from the dropdown." sqref="G27">
      <formula1>"☐,☑"</formula1>
    </dataValidation>
    <dataValidation type="list" allowBlank="1" showInputMessage="1" showErrorMessage="1" sqref="C28">
      <formula1>ResidenceTypes</formula1>
    </dataValidation>
    <dataValidation type="list" allowBlank="1" showInputMessage="1" showErrorMessage="1" errorTitle="Choose a tick" error="Choose ☐ or ☑ from the dropdown." sqref="F28">
      <formula1>"☐,☑"</formula1>
    </dataValidation>
    <dataValidation type="list" allowBlank="1" showInputMessage="1" showErrorMessage="1" errorTitle="Choose a tick" error="Choose ☐ or ☑ from the dropdown." sqref="G28">
      <formula1>"☐,☑"</formula1>
    </dataValidation>
    <dataValidation type="list" allowBlank="1" showInputMessage="1" showErrorMessage="1" sqref="C29">
      <formula1>ResidenceTypes</formula1>
    </dataValidation>
    <dataValidation type="list" allowBlank="1" showInputMessage="1" showErrorMessage="1" errorTitle="Choose a tick" error="Choose ☐ or ☑ from the dropdown." sqref="F29">
      <formula1>"☐,☑"</formula1>
    </dataValidation>
    <dataValidation type="list" allowBlank="1" showInputMessage="1" showErrorMessage="1" errorTitle="Choose a tick" error="Choose ☐ or ☑ from the dropdown." sqref="G29">
      <formula1>"☐,☑"</formula1>
    </dataValidation>
    <dataValidation type="list" allowBlank="1" showInputMessage="1" showErrorMessage="1" sqref="C30">
      <formula1>ResidenceTypes</formula1>
    </dataValidation>
    <dataValidation type="list" allowBlank="1" showInputMessage="1" showErrorMessage="1" errorTitle="Choose a tick" error="Choose ☐ or ☑ from the dropdown." sqref="F30">
      <formula1>"☐,☑"</formula1>
    </dataValidation>
    <dataValidation type="list" allowBlank="1" showInputMessage="1" showErrorMessage="1" errorTitle="Choose a tick" error="Choose ☐ or ☑ from the dropdown." sqref="G30">
      <formula1>"☐,☑"</formula1>
    </dataValidation>
    <dataValidation type="list" allowBlank="1" showInputMessage="1" showErrorMessage="1" sqref="C31">
      <formula1>ResidenceTypes</formula1>
    </dataValidation>
    <dataValidation type="list" allowBlank="1" showInputMessage="1" showErrorMessage="1" errorTitle="Choose a tick" error="Choose ☐ or ☑ from the dropdown." sqref="F31">
      <formula1>"☐,☑"</formula1>
    </dataValidation>
    <dataValidation type="list" allowBlank="1" showInputMessage="1" showErrorMessage="1" errorTitle="Choose a tick" error="Choose ☐ or ☑ from the dropdown." sqref="G31">
      <formula1>"☐,☑"</formula1>
    </dataValidation>
    <dataValidation type="list" allowBlank="1" showInputMessage="1" showErrorMessage="1" sqref="C32">
      <formula1>ResidenceTypes</formula1>
    </dataValidation>
    <dataValidation type="list" allowBlank="1" showInputMessage="1" showErrorMessage="1" errorTitle="Choose a tick" error="Choose ☐ or ☑ from the dropdown." sqref="F32">
      <formula1>"☐,☑"</formula1>
    </dataValidation>
    <dataValidation type="list" allowBlank="1" showInputMessage="1" showErrorMessage="1" errorTitle="Choose a tick" error="Choose ☐ or ☑ from the dropdown." sqref="G32">
      <formula1>"☐,☑"</formula1>
    </dataValidation>
    <dataValidation type="list" allowBlank="1" showInputMessage="1" showErrorMessage="1" sqref="C33">
      <formula1>ResidenceTypes</formula1>
    </dataValidation>
    <dataValidation type="list" allowBlank="1" showInputMessage="1" showErrorMessage="1" errorTitle="Choose a tick" error="Choose ☐ or ☑ from the dropdown." sqref="F33">
      <formula1>"☐,☑"</formula1>
    </dataValidation>
    <dataValidation type="list" allowBlank="1" showInputMessage="1" showErrorMessage="1" errorTitle="Choose a tick" error="Choose ☐ or ☑ from the dropdown." sqref="G33">
      <formula1>"☐,☑"</formula1>
    </dataValidation>
    <dataValidation type="list" allowBlank="1" showInputMessage="1" showErrorMessage="1" sqref="C34">
      <formula1>ResidenceTypes</formula1>
    </dataValidation>
    <dataValidation type="list" allowBlank="1" showInputMessage="1" showErrorMessage="1" errorTitle="Choose a tick" error="Choose ☐ or ☑ from the dropdown." sqref="F34">
      <formula1>"☐,☑"</formula1>
    </dataValidation>
    <dataValidation type="list" allowBlank="1" showInputMessage="1" showErrorMessage="1" errorTitle="Choose a tick" error="Choose ☐ or ☑ from the dropdown." sqref="G34">
      <formula1>"☐,☑"</formula1>
    </dataValidation>
    <dataValidation type="list" allowBlank="1" showInputMessage="1" showErrorMessage="1" sqref="C35">
      <formula1>ResidenceTypes</formula1>
    </dataValidation>
    <dataValidation type="list" allowBlank="1" showInputMessage="1" showErrorMessage="1" errorTitle="Choose a tick" error="Choose ☐ or ☑ from the dropdown." sqref="F35">
      <formula1>"☐,☑"</formula1>
    </dataValidation>
    <dataValidation type="list" allowBlank="1" showInputMessage="1" showErrorMessage="1" errorTitle="Choose a tick" error="Choose ☐ or ☑ from the dropdown." sqref="G35">
      <formula1>"☐,☑"</formula1>
    </dataValidation>
    <dataValidation type="list" allowBlank="1" showInputMessage="1" showErrorMessage="1" sqref="C36">
      <formula1>ResidenceTypes</formula1>
    </dataValidation>
    <dataValidation type="list" allowBlank="1" showInputMessage="1" showErrorMessage="1" errorTitle="Choose a tick" error="Choose ☐ or ☑ from the dropdown." sqref="F36">
      <formula1>"☐,☑"</formula1>
    </dataValidation>
    <dataValidation type="list" allowBlank="1" showInputMessage="1" showErrorMessage="1" errorTitle="Choose a tick" error="Choose ☐ or ☑ from the dropdown." sqref="G36">
      <formula1>"☐,☑"</formula1>
    </dataValidation>
    <dataValidation type="list" allowBlank="1" showInputMessage="1" showErrorMessage="1" sqref="C37">
      <formula1>ResidenceTypes</formula1>
    </dataValidation>
    <dataValidation type="list" allowBlank="1" showInputMessage="1" showErrorMessage="1" errorTitle="Choose a tick" error="Choose ☐ or ☑ from the dropdown." sqref="F37">
      <formula1>"☐,☑"</formula1>
    </dataValidation>
    <dataValidation type="list" allowBlank="1" showInputMessage="1" showErrorMessage="1" errorTitle="Choose a tick" error="Choose ☐ or ☑ from the dropdown." sqref="G37">
      <formula1>"☐,☑"</formula1>
    </dataValidation>
    <dataValidation type="list" allowBlank="1" showInputMessage="1" showErrorMessage="1" sqref="C38">
      <formula1>ResidenceTypes</formula1>
    </dataValidation>
    <dataValidation type="list" allowBlank="1" showInputMessage="1" showErrorMessage="1" errorTitle="Choose a tick" error="Choose ☐ or ☑ from the dropdown." sqref="F38">
      <formula1>"☐,☑"</formula1>
    </dataValidation>
    <dataValidation type="list" allowBlank="1" showInputMessage="1" showErrorMessage="1" errorTitle="Choose a tick" error="Choose ☐ or ☑ from the dropdown." sqref="G38">
      <formula1>"☐,☑"</formula1>
    </dataValidation>
    <dataValidation type="list" allowBlank="1" showInputMessage="1" showErrorMessage="1" sqref="C39">
      <formula1>ResidenceTypes</formula1>
    </dataValidation>
    <dataValidation type="list" allowBlank="1" showInputMessage="1" showErrorMessage="1" errorTitle="Choose a tick" error="Choose ☐ or ☑ from the dropdown." sqref="F39">
      <formula1>"☐,☑"</formula1>
    </dataValidation>
    <dataValidation type="list" allowBlank="1" showInputMessage="1" showErrorMessage="1" errorTitle="Choose a tick" error="Choose ☐ or ☑ from the dropdown." sqref="G39">
      <formula1>"☐,☑"</formula1>
    </dataValidation>
  </dataValidations>
  <pageMargins left="0.3" right="0.3" top="0.4" bottom="0.4" header="0.3" footer="0.3"/>
  <pageSetup paperSize="9" fitToHeight="0" orientation="landscape"/>
  <headerFooter>
    <oddFooter>&amp;L Irish naturalisation tracker &amp;R Page &amp;P of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K33"/>
  <sheetViews>
    <sheetView showGridLines="0" workbookViewId="0">
      <pane ySplit="5" topLeftCell="A6" activePane="bottomLeft" state="frozen"/>
      <selection pane="bottomLeft"/>
    </sheetView>
  </sheetViews>
  <sheetFormatPr defaultRowHeight="27" customHeight="1"/>
  <cols>
    <col min="1" max="1" width="8.7109375" customWidth="1"/>
    <col min="2" max="2" width="46.7109375" customWidth="1"/>
    <col min="3" max="3" width="18.7109375" customWidth="1"/>
    <col min="4" max="4" width="16.7109375" customWidth="1"/>
    <col min="5" max="6" width="18.7109375" customWidth="1"/>
    <col min="7" max="7" width="32.7109375" customWidth="1"/>
    <col min="8" max="8" width="18.7109375" customWidth="1"/>
    <col min="9" max="9" width="52.7109375" customWidth="1"/>
    <col min="10" max="11" width="22.7109375" customWidth="1"/>
  </cols>
  <sheetData>
    <row r="1" spans="1:11" ht="24" customHeight="1">
      <c r="A1" s="1" t="s">
        <v>4</v>
      </c>
      <c r="B1" s="1"/>
      <c r="C1" s="1"/>
      <c r="D1" s="1"/>
      <c r="E1" s="1"/>
      <c r="F1" s="1"/>
      <c r="G1" s="1"/>
      <c r="H1" s="1"/>
      <c r="I1" s="1"/>
      <c r="J1" s="1"/>
      <c r="K1" s="1"/>
    </row>
    <row r="2" spans="1:11" ht="18" customHeight="1">
      <c r="A2" s="1"/>
      <c r="B2" s="1"/>
      <c r="C2" s="1"/>
      <c r="D2" s="1"/>
      <c r="E2" s="1"/>
      <c r="F2" s="1"/>
      <c r="G2" s="1"/>
      <c r="H2" s="1"/>
      <c r="I2" s="1"/>
      <c r="J2" s="1"/>
      <c r="K2" s="1"/>
    </row>
    <row r="3" spans="1:11" ht="27" customHeight="1">
      <c r="A3" s="3" t="s">
        <v>136</v>
      </c>
      <c r="B3" s="3"/>
      <c r="C3" s="3"/>
      <c r="D3" s="3"/>
      <c r="E3" s="3"/>
      <c r="F3" s="3"/>
      <c r="G3" s="3"/>
      <c r="H3" s="3"/>
      <c r="I3" s="3"/>
      <c r="J3" s="3"/>
      <c r="K3" s="3"/>
    </row>
    <row r="4" spans="1:11" ht="27" customHeight="1">
      <c r="A4" s="3"/>
      <c r="B4" s="3"/>
      <c r="C4" s="3"/>
      <c r="D4" s="3"/>
      <c r="E4" s="3"/>
      <c r="F4" s="3"/>
      <c r="G4" s="3"/>
      <c r="H4" s="3"/>
      <c r="I4" s="3"/>
      <c r="J4" s="3"/>
      <c r="K4" s="3"/>
    </row>
    <row r="5" spans="1:11" ht="34" customHeight="1">
      <c r="A5" s="2" t="s">
        <v>137</v>
      </c>
      <c r="B5" s="2" t="s">
        <v>138</v>
      </c>
      <c r="C5" s="2" t="s">
        <v>139</v>
      </c>
      <c r="D5" s="2" t="s">
        <v>140</v>
      </c>
      <c r="E5" s="2" t="s">
        <v>141</v>
      </c>
      <c r="F5" s="2" t="s">
        <v>81</v>
      </c>
      <c r="G5" s="2" t="s">
        <v>142</v>
      </c>
      <c r="H5" s="2" t="s">
        <v>56</v>
      </c>
      <c r="I5" s="2" t="s">
        <v>143</v>
      </c>
      <c r="J5" s="2"/>
      <c r="K5" s="2"/>
    </row>
    <row r="6" spans="1:11" ht="50" customHeight="1">
      <c r="A6" s="5" t="s">
        <v>144</v>
      </c>
      <c r="B6" s="5" t="s">
        <v>145</v>
      </c>
      <c r="C6" s="5" t="s">
        <v>146</v>
      </c>
      <c r="D6" s="4" t="s">
        <v>147</v>
      </c>
      <c r="E6" s="8" t="s">
        <v>67</v>
      </c>
      <c r="F6" s="8" t="s">
        <v>67</v>
      </c>
      <c r="G6" s="4"/>
      <c r="H6" s="6" t="str">
        <f>IF(AND(A6="Spouse",Dashboard!$C$4="Standard adult"),"NOT REQUIRED",IF(AND(E6="☑",F6="☑",G6&lt;&gt;""),"OK","MISSING"))</f>
        <v>MISSING</v>
      </c>
      <c r="I6" s="4"/>
    </row>
    <row r="7" spans="1:11" ht="50" customHeight="1">
      <c r="A7" s="5" t="s">
        <v>144</v>
      </c>
      <c r="B7" s="5" t="s">
        <v>148</v>
      </c>
      <c r="C7" s="5" t="s">
        <v>146</v>
      </c>
      <c r="D7" s="4" t="s">
        <v>147</v>
      </c>
      <c r="E7" s="8" t="s">
        <v>67</v>
      </c>
      <c r="F7" s="8" t="s">
        <v>67</v>
      </c>
      <c r="G7" s="4"/>
      <c r="H7" s="6" t="str">
        <f>IF(AND(A7="Spouse",Dashboard!$C$4="Standard adult"),"NOT REQUIRED",IF(AND(E7="☑",F7="☑",G7&lt;&gt;""),"OK","MISSING"))</f>
        <v>MISSING</v>
      </c>
      <c r="I7" s="4"/>
    </row>
    <row r="8" spans="1:11" ht="50" customHeight="1">
      <c r="A8" s="5" t="s">
        <v>144</v>
      </c>
      <c r="B8" s="5" t="s">
        <v>149</v>
      </c>
      <c r="C8" s="5" t="s">
        <v>88</v>
      </c>
      <c r="D8" s="4" t="s">
        <v>147</v>
      </c>
      <c r="E8" s="8" t="s">
        <v>67</v>
      </c>
      <c r="F8" s="8" t="s">
        <v>67</v>
      </c>
      <c r="G8" s="4"/>
      <c r="H8" s="6" t="str">
        <f>IF(AND(A8="Spouse",Dashboard!$C$4="Standard adult"),"NOT REQUIRED",IF(COUNTIF(Identity!$D$6:$D$8,"☑")&gt;0,IF(AND(E8="☑",F8="☑",G8&lt;&gt;""),"OK","MISSING"),IF(AND(D8="No",I8&lt;&gt;""),"NOT REQUIRED","MISSING")))</f>
        <v>MISSING</v>
      </c>
      <c r="I8" s="4"/>
    </row>
    <row r="9" spans="1:11" ht="50" customHeight="1">
      <c r="A9" s="5" t="s">
        <v>144</v>
      </c>
      <c r="B9" s="5" t="s">
        <v>150</v>
      </c>
      <c r="C9" s="5" t="s">
        <v>151</v>
      </c>
      <c r="D9" s="4" t="s">
        <v>152</v>
      </c>
      <c r="E9" s="8" t="s">
        <v>67</v>
      </c>
      <c r="F9" s="8" t="s">
        <v>67</v>
      </c>
      <c r="G9" s="4"/>
      <c r="H9" s="6" t="str">
        <f>IF(AND(A9="Spouse",Dashboard!$C$4="Standard adult"),"NOT REQUIRED",IF(D9="No",IF(I9&lt;&gt;"","NOT REQUIRED","MISSING"),IF(D9="Yes",IF(AND(E9="☑",F9="☑",G9&lt;&gt;""),"OK","MISSING"),"MISSING")))</f>
        <v>MISSING</v>
      </c>
      <c r="I9" s="4"/>
    </row>
    <row r="10" spans="1:11" ht="50" customHeight="1">
      <c r="A10" s="5" t="s">
        <v>144</v>
      </c>
      <c r="B10" s="5" t="s">
        <v>153</v>
      </c>
      <c r="C10" s="5" t="s">
        <v>151</v>
      </c>
      <c r="D10" s="4" t="s">
        <v>152</v>
      </c>
      <c r="E10" s="8" t="s">
        <v>67</v>
      </c>
      <c r="F10" s="8" t="s">
        <v>67</v>
      </c>
      <c r="G10" s="4"/>
      <c r="H10" s="6" t="str">
        <f>IF(AND(A10="Spouse",Dashboard!$C$4="Standard adult"),"NOT REQUIRED",IF(D10="No",IF(I10&lt;&gt;"","NOT REQUIRED","MISSING"),IF(D10="Yes",IF(AND(E10="☑",F10="☑",G10&lt;&gt;""),"OK","MISSING"),"MISSING")))</f>
        <v>MISSING</v>
      </c>
      <c r="I10" s="4"/>
    </row>
    <row r="11" spans="1:11" ht="50" customHeight="1">
      <c r="A11" s="5" t="s">
        <v>144</v>
      </c>
      <c r="B11" s="5" t="s">
        <v>154</v>
      </c>
      <c r="C11" s="5" t="s">
        <v>151</v>
      </c>
      <c r="D11" s="4" t="s">
        <v>152</v>
      </c>
      <c r="E11" s="8" t="s">
        <v>67</v>
      </c>
      <c r="F11" s="8" t="s">
        <v>67</v>
      </c>
      <c r="G11" s="4"/>
      <c r="H11" s="6" t="str">
        <f>IF(AND(A11="Spouse",Dashboard!$C$4="Standard adult"),"NOT REQUIRED",IF(D11="No",IF(I11&lt;&gt;"","NOT REQUIRED","MISSING"),IF(D11="Yes",IF(AND(E11="☑",F11="☑",G11&lt;&gt;""),"OK","MISSING"),"MISSING")))</f>
        <v>MISSING</v>
      </c>
      <c r="I11" s="4"/>
    </row>
    <row r="12" spans="1:11" ht="50" customHeight="1">
      <c r="A12" s="5" t="s">
        <v>144</v>
      </c>
      <c r="B12" s="5" t="s">
        <v>155</v>
      </c>
      <c r="C12" s="5" t="s">
        <v>151</v>
      </c>
      <c r="D12" s="4" t="s">
        <v>152</v>
      </c>
      <c r="E12" s="8" t="s">
        <v>67</v>
      </c>
      <c r="F12" s="8" t="s">
        <v>67</v>
      </c>
      <c r="G12" s="4"/>
      <c r="H12" s="6" t="str">
        <f>IF(AND(A12="Spouse",Dashboard!$C$4="Standard adult"),"NOT REQUIRED",IF(D12="No",IF(I12&lt;&gt;"","NOT REQUIRED","MISSING"),IF(D12="Yes",IF(AND(E12="☑",F12="☑",G12&lt;&gt;""),"OK","MISSING"),"MISSING")))</f>
        <v>MISSING</v>
      </c>
      <c r="I12" s="4"/>
    </row>
    <row r="13" spans="1:11" ht="50" customHeight="1">
      <c r="A13" s="5" t="s">
        <v>144</v>
      </c>
      <c r="B13" s="5" t="s">
        <v>156</v>
      </c>
      <c r="C13" s="5" t="s">
        <v>151</v>
      </c>
      <c r="D13" s="4" t="s">
        <v>152</v>
      </c>
      <c r="E13" s="8" t="s">
        <v>67</v>
      </c>
      <c r="F13" s="8" t="s">
        <v>67</v>
      </c>
      <c r="G13" s="4"/>
      <c r="H13" s="6" t="str">
        <f>IF(AND(A13="Spouse",Dashboard!$C$4="Standard adult"),"NOT REQUIRED",IF(D13="No",IF(I13&lt;&gt;"","NOT REQUIRED","MISSING"),IF(D13="Yes",IF(AND(E13="☑",F13="☑",G13&lt;&gt;""),"OK","MISSING"),"MISSING")))</f>
        <v>MISSING</v>
      </c>
      <c r="I13" s="4"/>
    </row>
    <row r="14" spans="1:11" ht="50" customHeight="1">
      <c r="A14" s="5" t="s">
        <v>144</v>
      </c>
      <c r="B14" s="5" t="s">
        <v>157</v>
      </c>
      <c r="C14" s="5" t="s">
        <v>151</v>
      </c>
      <c r="D14" s="4" t="s">
        <v>152</v>
      </c>
      <c r="E14" s="8" t="s">
        <v>67</v>
      </c>
      <c r="F14" s="8" t="s">
        <v>67</v>
      </c>
      <c r="G14" s="4"/>
      <c r="H14" s="6" t="str">
        <f>IF(AND(A14="Spouse",Dashboard!$C$4="Standard adult"),"NOT REQUIRED",IF(D14="No",IF(I14&lt;&gt;"","NOT REQUIRED","MISSING"),IF(D14="Yes",IF(AND(E14="☑",F14="☑",G14&lt;&gt;""),"OK","MISSING"),"MISSING")))</f>
        <v>MISSING</v>
      </c>
      <c r="I14" s="4"/>
    </row>
    <row r="15" spans="1:11" ht="50" customHeight="1">
      <c r="A15" s="5" t="s">
        <v>144</v>
      </c>
      <c r="B15" s="5" t="s">
        <v>158</v>
      </c>
      <c r="C15" s="5" t="s">
        <v>151</v>
      </c>
      <c r="D15" s="4" t="s">
        <v>152</v>
      </c>
      <c r="E15" s="8" t="s">
        <v>67</v>
      </c>
      <c r="F15" s="8" t="s">
        <v>67</v>
      </c>
      <c r="G15" s="4"/>
      <c r="H15" s="6" t="str">
        <f>IF(AND(A15="Spouse",Dashboard!$C$4="Standard adult"),"NOT REQUIRED",IF(D15="No",IF(I15&lt;&gt;"","NOT REQUIRED","MISSING"),IF(D15="Yes",IF(AND(E15="☑",F15="☑",G15&lt;&gt;""),"OK","MISSING"),"MISSING")))</f>
        <v>MISSING</v>
      </c>
      <c r="I15" s="4"/>
    </row>
    <row r="16" spans="1:11" ht="50" customHeight="1">
      <c r="A16" s="5" t="s">
        <v>144</v>
      </c>
      <c r="B16" s="5" t="s">
        <v>159</v>
      </c>
      <c r="C16" s="5" t="s">
        <v>151</v>
      </c>
      <c r="D16" s="4" t="s">
        <v>152</v>
      </c>
      <c r="E16" s="8" t="s">
        <v>67</v>
      </c>
      <c r="F16" s="8" t="s">
        <v>67</v>
      </c>
      <c r="G16" s="4"/>
      <c r="H16" s="6" t="str">
        <f>IF(AND(A16="Spouse",Dashboard!$C$4="Standard adult"),"NOT REQUIRED",IF(D16="No",IF(I16&lt;&gt;"","NOT REQUIRED","MISSING"),IF(D16="Yes",IF(AND(E16="☑",F16="☑",G16&lt;&gt;""),"OK","MISSING"),"MISSING")))</f>
        <v>MISSING</v>
      </c>
      <c r="I16" s="4"/>
    </row>
    <row r="17" spans="1:9" ht="50" customHeight="1">
      <c r="A17" s="5" t="s">
        <v>144</v>
      </c>
      <c r="B17" s="5" t="s">
        <v>160</v>
      </c>
      <c r="C17" s="5" t="s">
        <v>151</v>
      </c>
      <c r="D17" s="4" t="s">
        <v>152</v>
      </c>
      <c r="E17" s="8" t="s">
        <v>67</v>
      </c>
      <c r="F17" s="8" t="s">
        <v>67</v>
      </c>
      <c r="G17" s="4"/>
      <c r="H17" s="6" t="str">
        <f>IF(AND(A17="Spouse",Dashboard!$C$4="Standard adult"),"NOT REQUIRED",IF(D17="No",IF(I17&lt;&gt;"","NOT REQUIRED","MISSING"),IF(D17="Yes",IF(AND(E17="☑",F17="☑",G17&lt;&gt;""),"OK","MISSING"),"MISSING")))</f>
        <v>MISSING</v>
      </c>
      <c r="I17" s="4"/>
    </row>
    <row r="18" spans="1:9" ht="50" customHeight="1">
      <c r="A18" s="5" t="s">
        <v>144</v>
      </c>
      <c r="B18" s="5" t="s">
        <v>161</v>
      </c>
      <c r="C18" s="5" t="s">
        <v>151</v>
      </c>
      <c r="D18" s="4" t="s">
        <v>152</v>
      </c>
      <c r="E18" s="8" t="s">
        <v>67</v>
      </c>
      <c r="F18" s="8" t="s">
        <v>67</v>
      </c>
      <c r="G18" s="4"/>
      <c r="H18" s="6" t="str">
        <f>IF(AND(A18="Spouse",Dashboard!$C$4="Standard adult"),"NOT REQUIRED",IF(D18="No",IF(I18&lt;&gt;"","NOT REQUIRED","MISSING"),IF(D18="Yes",IF(AND(E18="☑",F18="☑",G18&lt;&gt;""),"OK","MISSING"),"MISSING")))</f>
        <v>MISSING</v>
      </c>
      <c r="I18" s="4"/>
    </row>
    <row r="19" spans="1:9" ht="50" customHeight="1">
      <c r="A19" s="5" t="s">
        <v>144</v>
      </c>
      <c r="B19" s="5" t="s">
        <v>162</v>
      </c>
      <c r="C19" s="5" t="s">
        <v>151</v>
      </c>
      <c r="D19" s="4" t="s">
        <v>152</v>
      </c>
      <c r="E19" s="8" t="s">
        <v>67</v>
      </c>
      <c r="F19" s="8" t="s">
        <v>67</v>
      </c>
      <c r="G19" s="4"/>
      <c r="H19" s="6" t="str">
        <f>IF(AND(A19="Spouse",Dashboard!$C$4="Standard adult"),"NOT REQUIRED",IF(D19="No",IF(I19&lt;&gt;"","NOT REQUIRED","MISSING"),IF(D19="Yes",IF(AND(E19="☑",F19="☑",G19&lt;&gt;""),"OK","MISSING"),"MISSING")))</f>
        <v>MISSING</v>
      </c>
      <c r="I19" s="4"/>
    </row>
    <row r="20" spans="1:9" ht="50" customHeight="1">
      <c r="A20" s="5" t="s">
        <v>144</v>
      </c>
      <c r="B20" s="5" t="s">
        <v>163</v>
      </c>
      <c r="C20" s="5" t="s">
        <v>146</v>
      </c>
      <c r="D20" s="4" t="s">
        <v>147</v>
      </c>
      <c r="E20" s="8" t="s">
        <v>67</v>
      </c>
      <c r="F20" s="8" t="s">
        <v>67</v>
      </c>
      <c r="G20" s="4"/>
      <c r="H20" s="6" t="str">
        <f>IF(AND(A20="Spouse",Dashboard!$C$4="Standard adult"),"NOT REQUIRED",IF(AND(E20="☑",F20="☑",G20&lt;&gt;""),"OK","MISSING"))</f>
        <v>MISSING</v>
      </c>
      <c r="I20" s="4"/>
    </row>
    <row r="21" spans="1:9" ht="50" customHeight="1">
      <c r="A21" s="5" t="s">
        <v>144</v>
      </c>
      <c r="B21" s="5" t="s">
        <v>164</v>
      </c>
      <c r="C21" s="5" t="s">
        <v>146</v>
      </c>
      <c r="D21" s="4" t="s">
        <v>147</v>
      </c>
      <c r="E21" s="8" t="s">
        <v>67</v>
      </c>
      <c r="F21" s="8" t="s">
        <v>67</v>
      </c>
      <c r="G21" s="4"/>
      <c r="H21" s="6" t="str">
        <f>IF(AND(A21="Spouse",Dashboard!$C$4="Standard adult"),"NOT REQUIRED",IF(AND(E21="☑",F21="☑",G21&lt;&gt;""),"OK","MISSING"))</f>
        <v>MISSING</v>
      </c>
      <c r="I21" s="4"/>
    </row>
    <row r="22" spans="1:9" ht="50" customHeight="1">
      <c r="A22" s="5" t="s">
        <v>165</v>
      </c>
      <c r="B22" s="5" t="s">
        <v>166</v>
      </c>
      <c r="C22" s="5" t="s">
        <v>165</v>
      </c>
      <c r="D22" s="4" t="s">
        <v>147</v>
      </c>
      <c r="E22" s="8" t="s">
        <v>67</v>
      </c>
      <c r="F22" s="8" t="s">
        <v>67</v>
      </c>
      <c r="G22" s="4"/>
      <c r="H22" s="6" t="str">
        <f>IF(AND(A22="Spouse",Dashboard!$C$4="Standard adult"),"NOT REQUIRED",IF(AND(E22="☑",F22="☑",G22&lt;&gt;""),"OK","MISSING"))</f>
        <v>NOT REQUIRED</v>
      </c>
      <c r="I22" s="4"/>
    </row>
    <row r="23" spans="1:9" ht="50" customHeight="1">
      <c r="A23" s="5" t="s">
        <v>165</v>
      </c>
      <c r="B23" s="5" t="s">
        <v>167</v>
      </c>
      <c r="C23" s="5" t="s">
        <v>165</v>
      </c>
      <c r="D23" s="4" t="s">
        <v>147</v>
      </c>
      <c r="E23" s="8" t="s">
        <v>67</v>
      </c>
      <c r="F23" s="8" t="s">
        <v>67</v>
      </c>
      <c r="G23" s="4"/>
      <c r="H23" s="6" t="str">
        <f>IF(AND(A23="Spouse",Dashboard!$C$4="Standard adult"),"NOT REQUIRED",IF(AND(E23="☑",F23="☑",G23&lt;&gt;""),"OK","MISSING"))</f>
        <v>NOT REQUIRED</v>
      </c>
      <c r="I23" s="4"/>
    </row>
    <row r="24" spans="1:9" ht="50" customHeight="1">
      <c r="A24" s="5" t="s">
        <v>165</v>
      </c>
      <c r="B24" s="5" t="s">
        <v>168</v>
      </c>
      <c r="C24" s="5" t="s">
        <v>165</v>
      </c>
      <c r="D24" s="4" t="s">
        <v>147</v>
      </c>
      <c r="E24" s="8" t="s">
        <v>67</v>
      </c>
      <c r="F24" s="8" t="s">
        <v>67</v>
      </c>
      <c r="G24" s="4"/>
      <c r="H24" s="6" t="str">
        <f>IF(AND(A24="Spouse",Dashboard!$C$4="Standard adult"),"NOT REQUIRED",IF(AND(E24="☑",F24="☑",G24&lt;&gt;""),"OK","MISSING"))</f>
        <v>NOT REQUIRED</v>
      </c>
      <c r="I24" s="4"/>
    </row>
    <row r="25" spans="1:9" ht="50" customHeight="1">
      <c r="A25" s="5" t="s">
        <v>165</v>
      </c>
      <c r="B25" s="5" t="s">
        <v>169</v>
      </c>
      <c r="C25" s="5" t="s">
        <v>165</v>
      </c>
      <c r="D25" s="4" t="s">
        <v>147</v>
      </c>
      <c r="E25" s="8" t="s">
        <v>67</v>
      </c>
      <c r="F25" s="8" t="s">
        <v>67</v>
      </c>
      <c r="G25" s="4"/>
      <c r="H25" s="6" t="str">
        <f>IF(AND(A25="Spouse",Dashboard!$C$4="Standard adult"),"NOT REQUIRED",IF(AND(E25="☑",F25="☑",G25&lt;&gt;""),"OK","MISSING"))</f>
        <v>NOT REQUIRED</v>
      </c>
      <c r="I25" s="4"/>
    </row>
    <row r="26" spans="1:9" ht="50" customHeight="1">
      <c r="A26" s="5" t="s">
        <v>165</v>
      </c>
      <c r="B26" s="5" t="s">
        <v>170</v>
      </c>
      <c r="C26" s="5" t="s">
        <v>165</v>
      </c>
      <c r="D26" s="4" t="s">
        <v>147</v>
      </c>
      <c r="E26" s="8" t="s">
        <v>67</v>
      </c>
      <c r="F26" s="8" t="s">
        <v>67</v>
      </c>
      <c r="G26" s="4"/>
      <c r="H26" s="6" t="str">
        <f>IF(AND(A26="Spouse",Dashboard!$C$4="Standard adult"),"NOT REQUIRED",IF(AND(E26="☑",F26="☑",G26&lt;&gt;"",COUNTIF($G$26:$G$28,G26)=1),"OK","MISSING"))</f>
        <v>NOT REQUIRED</v>
      </c>
      <c r="I26" s="4"/>
    </row>
    <row r="27" spans="1:9" ht="50" customHeight="1">
      <c r="A27" s="5" t="s">
        <v>165</v>
      </c>
      <c r="B27" s="5" t="s">
        <v>171</v>
      </c>
      <c r="C27" s="5" t="s">
        <v>165</v>
      </c>
      <c r="D27" s="4" t="s">
        <v>147</v>
      </c>
      <c r="E27" s="8" t="s">
        <v>67</v>
      </c>
      <c r="F27" s="8" t="s">
        <v>67</v>
      </c>
      <c r="G27" s="4"/>
      <c r="H27" s="6" t="str">
        <f>IF(AND(A27="Spouse",Dashboard!$C$4="Standard adult"),"NOT REQUIRED",IF(AND(E27="☑",F27="☑",G27&lt;&gt;"",COUNTIF($G$26:$G$28,G27)=1),"OK","MISSING"))</f>
        <v>NOT REQUIRED</v>
      </c>
      <c r="I27" s="4"/>
    </row>
    <row r="28" spans="1:9" ht="50" customHeight="1">
      <c r="A28" s="5" t="s">
        <v>165</v>
      </c>
      <c r="B28" s="5" t="s">
        <v>172</v>
      </c>
      <c r="C28" s="5" t="s">
        <v>165</v>
      </c>
      <c r="D28" s="4" t="s">
        <v>147</v>
      </c>
      <c r="E28" s="8" t="s">
        <v>67</v>
      </c>
      <c r="F28" s="8" t="s">
        <v>67</v>
      </c>
      <c r="G28" s="4"/>
      <c r="H28" s="6" t="str">
        <f>IF(AND(A28="Spouse",Dashboard!$C$4="Standard adult"),"NOT REQUIRED",IF(AND(E28="☑",F28="☑",G28&lt;&gt;"",COUNTIF($G$26:$G$28,G28)=1),"OK","MISSING"))</f>
        <v>NOT REQUIRED</v>
      </c>
      <c r="I28" s="4"/>
    </row>
    <row r="29" spans="1:9" ht="50" customHeight="1">
      <c r="A29" s="5" t="s">
        <v>165</v>
      </c>
      <c r="B29" s="5" t="s">
        <v>173</v>
      </c>
      <c r="C29" s="5" t="s">
        <v>165</v>
      </c>
      <c r="D29" s="4" t="s">
        <v>147</v>
      </c>
      <c r="E29" s="8" t="s">
        <v>67</v>
      </c>
      <c r="F29" s="8" t="s">
        <v>67</v>
      </c>
      <c r="G29" s="4"/>
      <c r="H29" s="6" t="str">
        <f>IF(AND(A29="Spouse",Dashboard!$C$4="Standard adult"),"NOT REQUIRED",IF(AND(E29="☑",F29="☑",G29&lt;&gt;"",COUNTIF($G$29:$G$31,G29)=1),"OK","MISSING"))</f>
        <v>NOT REQUIRED</v>
      </c>
      <c r="I29" s="4"/>
    </row>
    <row r="30" spans="1:9" ht="50" customHeight="1">
      <c r="A30" s="5" t="s">
        <v>165</v>
      </c>
      <c r="B30" s="5" t="s">
        <v>174</v>
      </c>
      <c r="C30" s="5" t="s">
        <v>165</v>
      </c>
      <c r="D30" s="4" t="s">
        <v>147</v>
      </c>
      <c r="E30" s="8" t="s">
        <v>67</v>
      </c>
      <c r="F30" s="8" t="s">
        <v>67</v>
      </c>
      <c r="G30" s="4"/>
      <c r="H30" s="6" t="str">
        <f>IF(AND(A30="Spouse",Dashboard!$C$4="Standard adult"),"NOT REQUIRED",IF(AND(E30="☑",F30="☑",G30&lt;&gt;"",COUNTIF($G$29:$G$31,G30)=1),"OK","MISSING"))</f>
        <v>NOT REQUIRED</v>
      </c>
      <c r="I30" s="4"/>
    </row>
    <row r="31" spans="1:9" ht="50" customHeight="1">
      <c r="A31" s="5" t="s">
        <v>165</v>
      </c>
      <c r="B31" s="5" t="s">
        <v>175</v>
      </c>
      <c r="C31" s="5" t="s">
        <v>165</v>
      </c>
      <c r="D31" s="4" t="s">
        <v>147</v>
      </c>
      <c r="E31" s="8" t="s">
        <v>67</v>
      </c>
      <c r="F31" s="8" t="s">
        <v>67</v>
      </c>
      <c r="G31" s="4"/>
      <c r="H31" s="6" t="str">
        <f>IF(AND(A31="Spouse",Dashboard!$C$4="Standard adult"),"NOT REQUIRED",IF(AND(E31="☑",F31="☑",G31&lt;&gt;"",COUNTIF($G$29:$G$31,G31)=1),"OK","MISSING"))</f>
        <v>NOT REQUIRED</v>
      </c>
      <c r="I31" s="4"/>
    </row>
    <row r="32" spans="1:9" ht="50" customHeight="1">
      <c r="A32" s="5" t="s">
        <v>165</v>
      </c>
      <c r="B32" s="5" t="s">
        <v>176</v>
      </c>
      <c r="C32" s="5" t="s">
        <v>151</v>
      </c>
      <c r="D32" s="4" t="s">
        <v>152</v>
      </c>
      <c r="E32" s="8" t="s">
        <v>67</v>
      </c>
      <c r="F32" s="8" t="s">
        <v>67</v>
      </c>
      <c r="G32" s="4"/>
      <c r="H32" s="6" t="str">
        <f>IF(AND(A32="Spouse",Dashboard!$C$4="Standard adult"),"NOT REQUIRED",IF(D32="No",IF(I32&lt;&gt;"","NOT REQUIRED","MISSING"),IF(D32="Yes",IF(AND(E32="☑",F32="☑",G32&lt;&gt;""),"OK","MISSING"),"MISSING")))</f>
        <v>NOT REQUIRED</v>
      </c>
      <c r="I32" s="4"/>
    </row>
    <row r="33" spans="1:9" ht="50" customHeight="1">
      <c r="A33" s="5" t="s">
        <v>165</v>
      </c>
      <c r="B33" s="5" t="s">
        <v>177</v>
      </c>
      <c r="C33" s="5" t="s">
        <v>151</v>
      </c>
      <c r="D33" s="4" t="s">
        <v>152</v>
      </c>
      <c r="E33" s="8" t="s">
        <v>67</v>
      </c>
      <c r="F33" s="8" t="s">
        <v>67</v>
      </c>
      <c r="G33" s="4"/>
      <c r="H33" s="6" t="str">
        <f>IF(AND(A33="Spouse",Dashboard!$C$4="Standard adult"),"NOT REQUIRED",IF(D33="No",IF(I33&lt;&gt;"","NOT REQUIRED","MISSING"),IF(D33="Yes",IF(AND(E33="☑",F33="☑",G33&lt;&gt;""),"OK","MISSING"),"MISSING")))</f>
        <v>NOT REQUIRED</v>
      </c>
      <c r="I33" s="4"/>
    </row>
  </sheetData>
  <sheetProtection sheet="1" objects="1" scenarios="1" sort="0" autoFilter="0"/>
  <autoFilter ref="A5:I33"/>
  <mergeCells count="2">
    <mergeCell ref="A1:K2"/>
    <mergeCell ref="A3:K4"/>
  </mergeCells>
  <conditionalFormatting sqref="H6:H33">
    <cfRule type="containsText" dxfId="0" priority="1" operator="containsText" text="OK">
      <formula>NOT(ISERROR(SEARCH("OK",H6)))</formula>
    </cfRule>
    <cfRule type="containsText" dxfId="1" priority="2" operator="containsText" text="MISSING">
      <formula>NOT(ISERROR(SEARCH("MISSING",H6)))</formula>
    </cfRule>
  </conditionalFormatting>
  <dataValidations count="84">
    <dataValidation type="list" allowBlank="1" showInputMessage="1" showErrorMessage="1" sqref="D6">
      <formula1>"Decide,Yes,No"</formula1>
    </dataValidation>
    <dataValidation type="list" allowBlank="1" showInputMessage="1" showErrorMessage="1" errorTitle="Choose a tick" error="Choose ☐ or ☑ from the dropdown." sqref="E6">
      <formula1>"☐,☑"</formula1>
    </dataValidation>
    <dataValidation type="list" allowBlank="1" showInputMessage="1" showErrorMessage="1" errorTitle="Choose a tick" error="Choose ☐ or ☑ from the dropdown." sqref="F6">
      <formula1>"☐,☑"</formula1>
    </dataValidation>
    <dataValidation type="list" allowBlank="1" showInputMessage="1" showErrorMessage="1" sqref="D7">
      <formula1>"Decide,Yes,No"</formula1>
    </dataValidation>
    <dataValidation type="list" allowBlank="1" showInputMessage="1" showErrorMessage="1" errorTitle="Choose a tick" error="Choose ☐ or ☑ from the dropdown." sqref="E7">
      <formula1>"☐,☑"</formula1>
    </dataValidation>
    <dataValidation type="list" allowBlank="1" showInputMessage="1" showErrorMessage="1" errorTitle="Choose a tick" error="Choose ☐ or ☑ from the dropdown." sqref="F7">
      <formula1>"☐,☑"</formula1>
    </dataValidation>
    <dataValidation type="list" allowBlank="1" showInputMessage="1" showErrorMessage="1" sqref="D8">
      <formula1>"Decide,Yes,No"</formula1>
    </dataValidation>
    <dataValidation type="list" allowBlank="1" showInputMessage="1" showErrorMessage="1" errorTitle="Choose a tick" error="Choose ☐ or ☑ from the dropdown." sqref="E8">
      <formula1>"☐,☑"</formula1>
    </dataValidation>
    <dataValidation type="list" allowBlank="1" showInputMessage="1" showErrorMessage="1" errorTitle="Choose a tick" error="Choose ☐ or ☑ from the dropdown." sqref="F8">
      <formula1>"☐,☑"</formula1>
    </dataValidation>
    <dataValidation type="list" allowBlank="1" showInputMessage="1" showErrorMessage="1" sqref="D9">
      <formula1>"Decide,Yes,No"</formula1>
    </dataValidation>
    <dataValidation type="list" allowBlank="1" showInputMessage="1" showErrorMessage="1" errorTitle="Choose a tick" error="Choose ☐ or ☑ from the dropdown." sqref="E9">
      <formula1>"☐,☑"</formula1>
    </dataValidation>
    <dataValidation type="list" allowBlank="1" showInputMessage="1" showErrorMessage="1" errorTitle="Choose a tick" error="Choose ☐ or ☑ from the dropdown." sqref="F9">
      <formula1>"☐,☑"</formula1>
    </dataValidation>
    <dataValidation type="list" allowBlank="1" showInputMessage="1" showErrorMessage="1" sqref="D10">
      <formula1>"Decide,Yes,No"</formula1>
    </dataValidation>
    <dataValidation type="list" allowBlank="1" showInputMessage="1" showErrorMessage="1" errorTitle="Choose a tick" error="Choose ☐ or ☑ from the dropdown." sqref="E10">
      <formula1>"☐,☑"</formula1>
    </dataValidation>
    <dataValidation type="list" allowBlank="1" showInputMessage="1" showErrorMessage="1" errorTitle="Choose a tick" error="Choose ☐ or ☑ from the dropdown." sqref="F10">
      <formula1>"☐,☑"</formula1>
    </dataValidation>
    <dataValidation type="list" allowBlank="1" showInputMessage="1" showErrorMessage="1" sqref="D11">
      <formula1>"Decide,Yes,No"</formula1>
    </dataValidation>
    <dataValidation type="list" allowBlank="1" showInputMessage="1" showErrorMessage="1" errorTitle="Choose a tick" error="Choose ☐ or ☑ from the dropdown." sqref="E11">
      <formula1>"☐,☑"</formula1>
    </dataValidation>
    <dataValidation type="list" allowBlank="1" showInputMessage="1" showErrorMessage="1" errorTitle="Choose a tick" error="Choose ☐ or ☑ from the dropdown." sqref="F11">
      <formula1>"☐,☑"</formula1>
    </dataValidation>
    <dataValidation type="list" allowBlank="1" showInputMessage="1" showErrorMessage="1" sqref="D12">
      <formula1>"Decide,Yes,No"</formula1>
    </dataValidation>
    <dataValidation type="list" allowBlank="1" showInputMessage="1" showErrorMessage="1" errorTitle="Choose a tick" error="Choose ☐ or ☑ from the dropdown." sqref="E12">
      <formula1>"☐,☑"</formula1>
    </dataValidation>
    <dataValidation type="list" allowBlank="1" showInputMessage="1" showErrorMessage="1" errorTitle="Choose a tick" error="Choose ☐ or ☑ from the dropdown." sqref="F12">
      <formula1>"☐,☑"</formula1>
    </dataValidation>
    <dataValidation type="list" allowBlank="1" showInputMessage="1" showErrorMessage="1" sqref="D13">
      <formula1>"Decide,Yes,No"</formula1>
    </dataValidation>
    <dataValidation type="list" allowBlank="1" showInputMessage="1" showErrorMessage="1" errorTitle="Choose a tick" error="Choose ☐ or ☑ from the dropdown." sqref="E13">
      <formula1>"☐,☑"</formula1>
    </dataValidation>
    <dataValidation type="list" allowBlank="1" showInputMessage="1" showErrorMessage="1" errorTitle="Choose a tick" error="Choose ☐ or ☑ from the dropdown." sqref="F13">
      <formula1>"☐,☑"</formula1>
    </dataValidation>
    <dataValidation type="list" allowBlank="1" showInputMessage="1" showErrorMessage="1" sqref="D14">
      <formula1>"Decide,Yes,No"</formula1>
    </dataValidation>
    <dataValidation type="list" allowBlank="1" showInputMessage="1" showErrorMessage="1" errorTitle="Choose a tick" error="Choose ☐ or ☑ from the dropdown." sqref="E14">
      <formula1>"☐,☑"</formula1>
    </dataValidation>
    <dataValidation type="list" allowBlank="1" showInputMessage="1" showErrorMessage="1" errorTitle="Choose a tick" error="Choose ☐ or ☑ from the dropdown." sqref="F14">
      <formula1>"☐,☑"</formula1>
    </dataValidation>
    <dataValidation type="list" allowBlank="1" showInputMessage="1" showErrorMessage="1" sqref="D15">
      <formula1>"Decide,Yes,No"</formula1>
    </dataValidation>
    <dataValidation type="list" allowBlank="1" showInputMessage="1" showErrorMessage="1" errorTitle="Choose a tick" error="Choose ☐ or ☑ from the dropdown." sqref="E15">
      <formula1>"☐,☑"</formula1>
    </dataValidation>
    <dataValidation type="list" allowBlank="1" showInputMessage="1" showErrorMessage="1" errorTitle="Choose a tick" error="Choose ☐ or ☑ from the dropdown." sqref="F15">
      <formula1>"☐,☑"</formula1>
    </dataValidation>
    <dataValidation type="list" allowBlank="1" showInputMessage="1" showErrorMessage="1" sqref="D16">
      <formula1>"Decide,Yes,No"</formula1>
    </dataValidation>
    <dataValidation type="list" allowBlank="1" showInputMessage="1" showErrorMessage="1" errorTitle="Choose a tick" error="Choose ☐ or ☑ from the dropdown." sqref="E16">
      <formula1>"☐,☑"</formula1>
    </dataValidation>
    <dataValidation type="list" allowBlank="1" showInputMessage="1" showErrorMessage="1" errorTitle="Choose a tick" error="Choose ☐ or ☑ from the dropdown." sqref="F16">
      <formula1>"☐,☑"</formula1>
    </dataValidation>
    <dataValidation type="list" allowBlank="1" showInputMessage="1" showErrorMessage="1" sqref="D17">
      <formula1>"Decide,Yes,No"</formula1>
    </dataValidation>
    <dataValidation type="list" allowBlank="1" showInputMessage="1" showErrorMessage="1" errorTitle="Choose a tick" error="Choose ☐ or ☑ from the dropdown." sqref="E17">
      <formula1>"☐,☑"</formula1>
    </dataValidation>
    <dataValidation type="list" allowBlank="1" showInputMessage="1" showErrorMessage="1" errorTitle="Choose a tick" error="Choose ☐ or ☑ from the dropdown." sqref="F17">
      <formula1>"☐,☑"</formula1>
    </dataValidation>
    <dataValidation type="list" allowBlank="1" showInputMessage="1" showErrorMessage="1" sqref="D18">
      <formula1>"Decide,Yes,No"</formula1>
    </dataValidation>
    <dataValidation type="list" allowBlank="1" showInputMessage="1" showErrorMessage="1" errorTitle="Choose a tick" error="Choose ☐ or ☑ from the dropdown." sqref="E18">
      <formula1>"☐,☑"</formula1>
    </dataValidation>
    <dataValidation type="list" allowBlank="1" showInputMessage="1" showErrorMessage="1" errorTitle="Choose a tick" error="Choose ☐ or ☑ from the dropdown." sqref="F18">
      <formula1>"☐,☑"</formula1>
    </dataValidation>
    <dataValidation type="list" allowBlank="1" showInputMessage="1" showErrorMessage="1" sqref="D19">
      <formula1>"Decide,Yes,No"</formula1>
    </dataValidation>
    <dataValidation type="list" allowBlank="1" showInputMessage="1" showErrorMessage="1" errorTitle="Choose a tick" error="Choose ☐ or ☑ from the dropdown." sqref="E19">
      <formula1>"☐,☑"</formula1>
    </dataValidation>
    <dataValidation type="list" allowBlank="1" showInputMessage="1" showErrorMessage="1" errorTitle="Choose a tick" error="Choose ☐ or ☑ from the dropdown." sqref="F19">
      <formula1>"☐,☑"</formula1>
    </dataValidation>
    <dataValidation type="list" allowBlank="1" showInputMessage="1" showErrorMessage="1" sqref="D20">
      <formula1>"Decide,Yes,No"</formula1>
    </dataValidation>
    <dataValidation type="list" allowBlank="1" showInputMessage="1" showErrorMessage="1" errorTitle="Choose a tick" error="Choose ☐ or ☑ from the dropdown." sqref="E20">
      <formula1>"☐,☑"</formula1>
    </dataValidation>
    <dataValidation type="list" allowBlank="1" showInputMessage="1" showErrorMessage="1" errorTitle="Choose a tick" error="Choose ☐ or ☑ from the dropdown." sqref="F20">
      <formula1>"☐,☑"</formula1>
    </dataValidation>
    <dataValidation type="list" allowBlank="1" showInputMessage="1" showErrorMessage="1" sqref="D21">
      <formula1>"Decide,Yes,No"</formula1>
    </dataValidation>
    <dataValidation type="list" allowBlank="1" showInputMessage="1" showErrorMessage="1" errorTitle="Choose a tick" error="Choose ☐ or ☑ from the dropdown." sqref="E21">
      <formula1>"☐,☑"</formula1>
    </dataValidation>
    <dataValidation type="list" allowBlank="1" showInputMessage="1" showErrorMessage="1" errorTitle="Choose a tick" error="Choose ☐ or ☑ from the dropdown." sqref="F21">
      <formula1>"☐,☑"</formula1>
    </dataValidation>
    <dataValidation type="list" allowBlank="1" showInputMessage="1" showErrorMessage="1" sqref="D22">
      <formula1>"Decide,Yes,No"</formula1>
    </dataValidation>
    <dataValidation type="list" allowBlank="1" showInputMessage="1" showErrorMessage="1" errorTitle="Choose a tick" error="Choose ☐ or ☑ from the dropdown." sqref="E22">
      <formula1>"☐,☑"</formula1>
    </dataValidation>
    <dataValidation type="list" allowBlank="1" showInputMessage="1" showErrorMessage="1" errorTitle="Choose a tick" error="Choose ☐ or ☑ from the dropdown." sqref="F22">
      <formula1>"☐,☑"</formula1>
    </dataValidation>
    <dataValidation type="list" allowBlank="1" showInputMessage="1" showErrorMessage="1" sqref="D23">
      <formula1>"Decide,Yes,No"</formula1>
    </dataValidation>
    <dataValidation type="list" allowBlank="1" showInputMessage="1" showErrorMessage="1" errorTitle="Choose a tick" error="Choose ☐ or ☑ from the dropdown." sqref="E23">
      <formula1>"☐,☑"</formula1>
    </dataValidation>
    <dataValidation type="list" allowBlank="1" showInputMessage="1" showErrorMessage="1" errorTitle="Choose a tick" error="Choose ☐ or ☑ from the dropdown." sqref="F23">
      <formula1>"☐,☑"</formula1>
    </dataValidation>
    <dataValidation type="list" allowBlank="1" showInputMessage="1" showErrorMessage="1" sqref="D24">
      <formula1>"Decide,Yes,No"</formula1>
    </dataValidation>
    <dataValidation type="list" allowBlank="1" showInputMessage="1" showErrorMessage="1" errorTitle="Choose a tick" error="Choose ☐ or ☑ from the dropdown." sqref="E24">
      <formula1>"☐,☑"</formula1>
    </dataValidation>
    <dataValidation type="list" allowBlank="1" showInputMessage="1" showErrorMessage="1" errorTitle="Choose a tick" error="Choose ☐ or ☑ from the dropdown." sqref="F24">
      <formula1>"☐,☑"</formula1>
    </dataValidation>
    <dataValidation type="list" allowBlank="1" showInputMessage="1" showErrorMessage="1" sqref="D25">
      <formula1>"Decide,Yes,No"</formula1>
    </dataValidation>
    <dataValidation type="list" allowBlank="1" showInputMessage="1" showErrorMessage="1" errorTitle="Choose a tick" error="Choose ☐ or ☑ from the dropdown." sqref="E25">
      <formula1>"☐,☑"</formula1>
    </dataValidation>
    <dataValidation type="list" allowBlank="1" showInputMessage="1" showErrorMessage="1" errorTitle="Choose a tick" error="Choose ☐ or ☑ from the dropdown." sqref="F25">
      <formula1>"☐,☑"</formula1>
    </dataValidation>
    <dataValidation type="list" allowBlank="1" showInputMessage="1" showErrorMessage="1" sqref="D26">
      <formula1>"Decide,Yes,No"</formula1>
    </dataValidation>
    <dataValidation type="list" allowBlank="1" showInputMessage="1" showErrorMessage="1" errorTitle="Choose a tick" error="Choose ☐ or ☑ from the dropdown." sqref="E26">
      <formula1>"☐,☑"</formula1>
    </dataValidation>
    <dataValidation type="list" allowBlank="1" showInputMessage="1" showErrorMessage="1" errorTitle="Choose a tick" error="Choose ☐ or ☑ from the dropdown." sqref="F26">
      <formula1>"☐,☑"</formula1>
    </dataValidation>
    <dataValidation type="list" allowBlank="1" showInputMessage="1" showErrorMessage="1" sqref="D27">
      <formula1>"Decide,Yes,No"</formula1>
    </dataValidation>
    <dataValidation type="list" allowBlank="1" showInputMessage="1" showErrorMessage="1" errorTitle="Choose a tick" error="Choose ☐ or ☑ from the dropdown." sqref="E27">
      <formula1>"☐,☑"</formula1>
    </dataValidation>
    <dataValidation type="list" allowBlank="1" showInputMessage="1" showErrorMessage="1" errorTitle="Choose a tick" error="Choose ☐ or ☑ from the dropdown." sqref="F27">
      <formula1>"☐,☑"</formula1>
    </dataValidation>
    <dataValidation type="list" allowBlank="1" showInputMessage="1" showErrorMessage="1" sqref="D28">
      <formula1>"Decide,Yes,No"</formula1>
    </dataValidation>
    <dataValidation type="list" allowBlank="1" showInputMessage="1" showErrorMessage="1" errorTitle="Choose a tick" error="Choose ☐ or ☑ from the dropdown." sqref="E28">
      <formula1>"☐,☑"</formula1>
    </dataValidation>
    <dataValidation type="list" allowBlank="1" showInputMessage="1" showErrorMessage="1" errorTitle="Choose a tick" error="Choose ☐ or ☑ from the dropdown." sqref="F28">
      <formula1>"☐,☑"</formula1>
    </dataValidation>
    <dataValidation type="list" allowBlank="1" showInputMessage="1" showErrorMessage="1" sqref="D29">
      <formula1>"Decide,Yes,No"</formula1>
    </dataValidation>
    <dataValidation type="list" allowBlank="1" showInputMessage="1" showErrorMessage="1" errorTitle="Choose a tick" error="Choose ☐ or ☑ from the dropdown." sqref="E29">
      <formula1>"☐,☑"</formula1>
    </dataValidation>
    <dataValidation type="list" allowBlank="1" showInputMessage="1" showErrorMessage="1" errorTitle="Choose a tick" error="Choose ☐ or ☑ from the dropdown." sqref="F29">
      <formula1>"☐,☑"</formula1>
    </dataValidation>
    <dataValidation type="list" allowBlank="1" showInputMessage="1" showErrorMessage="1" sqref="D30">
      <formula1>"Decide,Yes,No"</formula1>
    </dataValidation>
    <dataValidation type="list" allowBlank="1" showInputMessage="1" showErrorMessage="1" errorTitle="Choose a tick" error="Choose ☐ or ☑ from the dropdown." sqref="E30">
      <formula1>"☐,☑"</formula1>
    </dataValidation>
    <dataValidation type="list" allowBlank="1" showInputMessage="1" showErrorMessage="1" errorTitle="Choose a tick" error="Choose ☐ or ☑ from the dropdown." sqref="F30">
      <formula1>"☐,☑"</formula1>
    </dataValidation>
    <dataValidation type="list" allowBlank="1" showInputMessage="1" showErrorMessage="1" sqref="D31">
      <formula1>"Decide,Yes,No"</formula1>
    </dataValidation>
    <dataValidation type="list" allowBlank="1" showInputMessage="1" showErrorMessage="1" errorTitle="Choose a tick" error="Choose ☐ or ☑ from the dropdown." sqref="E31">
      <formula1>"☐,☑"</formula1>
    </dataValidation>
    <dataValidation type="list" allowBlank="1" showInputMessage="1" showErrorMessage="1" errorTitle="Choose a tick" error="Choose ☐ or ☑ from the dropdown." sqref="F31">
      <formula1>"☐,☑"</formula1>
    </dataValidation>
    <dataValidation type="list" allowBlank="1" showInputMessage="1" showErrorMessage="1" sqref="D32">
      <formula1>"Decide,Yes,No"</formula1>
    </dataValidation>
    <dataValidation type="list" allowBlank="1" showInputMessage="1" showErrorMessage="1" errorTitle="Choose a tick" error="Choose ☐ or ☑ from the dropdown." sqref="E32">
      <formula1>"☐,☑"</formula1>
    </dataValidation>
    <dataValidation type="list" allowBlank="1" showInputMessage="1" showErrorMessage="1" errorTitle="Choose a tick" error="Choose ☐ or ☑ from the dropdown." sqref="F32">
      <formula1>"☐,☑"</formula1>
    </dataValidation>
    <dataValidation type="list" allowBlank="1" showInputMessage="1" showErrorMessage="1" sqref="D33">
      <formula1>"Decide,Yes,No"</formula1>
    </dataValidation>
    <dataValidation type="list" allowBlank="1" showInputMessage="1" showErrorMessage="1" errorTitle="Choose a tick" error="Choose ☐ or ☑ from the dropdown." sqref="E33">
      <formula1>"☐,☑"</formula1>
    </dataValidation>
    <dataValidation type="list" allowBlank="1" showInputMessage="1" showErrorMessage="1" errorTitle="Choose a tick" error="Choose ☐ or ☑ from the dropdown." sqref="F33">
      <formula1>"☐,☑"</formula1>
    </dataValidation>
  </dataValidations>
  <pageMargins left="0.3" right="0.3" top="0.4" bottom="0.4" header="0.3" footer="0.3"/>
  <pageSetup paperSize="9" fitToHeight="0" orientation="landscape"/>
  <headerFooter>
    <oddFooter>&amp;L Irish naturalisation tracker &amp;R Page &amp;P of &amp;N</oddFooter>
  </headerFooter>
  <legacyDrawing r:id="rId1"/>
</worksheet>
</file>

<file path=xl/worksheets/sheet6.xml><?xml version="1.0" encoding="utf-8"?>
<worksheet xmlns="http://schemas.openxmlformats.org/spreadsheetml/2006/main" xmlns:r="http://schemas.openxmlformats.org/officeDocument/2006/relationships">
  <sheetPr>
    <pageSetUpPr fitToPage="1"/>
  </sheetPr>
  <dimension ref="A1:K15"/>
  <sheetViews>
    <sheetView showGridLines="0" workbookViewId="0">
      <pane ySplit="5" topLeftCell="A6" activePane="bottomLeft" state="frozen"/>
      <selection pane="bottomLeft"/>
    </sheetView>
  </sheetViews>
  <sheetFormatPr defaultRowHeight="27" customHeight="1"/>
  <cols>
    <col min="1" max="1" width="8.7109375" customWidth="1"/>
    <col min="2" max="2" width="48.7109375" customWidth="1"/>
    <col min="3" max="4" width="18.7109375" customWidth="1"/>
    <col min="5" max="5" width="34.7109375" customWidth="1"/>
    <col min="6" max="6" width="40.7109375" customWidth="1"/>
    <col min="7" max="11" width="18.7109375" customWidth="1"/>
  </cols>
  <sheetData>
    <row r="1" spans="1:11" ht="24" customHeight="1">
      <c r="A1" s="1" t="s">
        <v>5</v>
      </c>
      <c r="B1" s="1"/>
      <c r="C1" s="1"/>
      <c r="D1" s="1"/>
      <c r="E1" s="1"/>
      <c r="F1" s="1"/>
      <c r="G1" s="1"/>
      <c r="H1" s="1"/>
      <c r="I1" s="1"/>
      <c r="J1" s="1"/>
      <c r="K1" s="1"/>
    </row>
    <row r="2" spans="1:11" ht="18" customHeight="1">
      <c r="A2" s="1"/>
      <c r="B2" s="1"/>
      <c r="C2" s="1"/>
      <c r="D2" s="1"/>
      <c r="E2" s="1"/>
      <c r="F2" s="1"/>
      <c r="G2" s="1"/>
      <c r="H2" s="1"/>
      <c r="I2" s="1"/>
      <c r="J2" s="1"/>
      <c r="K2" s="1"/>
    </row>
    <row r="3" spans="1:11" ht="27" customHeight="1">
      <c r="A3" s="3" t="s">
        <v>178</v>
      </c>
      <c r="B3" s="3"/>
      <c r="C3" s="3"/>
      <c r="D3" s="3"/>
      <c r="E3" s="3"/>
      <c r="F3" s="3"/>
      <c r="G3" s="3"/>
      <c r="H3" s="3"/>
      <c r="I3" s="3"/>
      <c r="J3" s="3"/>
      <c r="K3" s="3"/>
    </row>
    <row r="4" spans="1:11" ht="27" customHeight="1">
      <c r="A4" s="3"/>
      <c r="B4" s="3"/>
      <c r="C4" s="3"/>
      <c r="D4" s="3"/>
      <c r="E4" s="3"/>
      <c r="F4" s="3"/>
      <c r="G4" s="3"/>
      <c r="H4" s="3"/>
      <c r="I4" s="3"/>
      <c r="J4" s="3"/>
      <c r="K4" s="3"/>
    </row>
    <row r="5" spans="1:11" ht="34" customHeight="1">
      <c r="A5" s="2" t="s">
        <v>113</v>
      </c>
      <c r="B5" s="2" t="s">
        <v>179</v>
      </c>
      <c r="C5" s="2" t="s">
        <v>141</v>
      </c>
      <c r="D5" s="2" t="s">
        <v>81</v>
      </c>
      <c r="E5" s="2" t="s">
        <v>180</v>
      </c>
      <c r="F5" s="2" t="s">
        <v>84</v>
      </c>
      <c r="G5" s="2" t="s">
        <v>56</v>
      </c>
      <c r="H5" s="2"/>
      <c r="I5" s="2"/>
      <c r="J5" s="2"/>
      <c r="K5" s="2"/>
    </row>
    <row r="6" spans="1:11" ht="45" customHeight="1">
      <c r="A6" s="4" t="s">
        <v>120</v>
      </c>
      <c r="B6" s="4"/>
      <c r="C6" s="8" t="s">
        <v>67</v>
      </c>
      <c r="D6" s="8" t="s">
        <v>67</v>
      </c>
      <c r="E6" s="4"/>
      <c r="F6" s="4"/>
      <c r="G6" s="6" t="str">
        <f>IF(A6="No","NOT USED",IF(AND(A6="Yes",B6&lt;&gt;"",C6="☑",D6="☑",E6&lt;&gt;""),"OK","MISSING"))</f>
        <v>NOT USED</v>
      </c>
    </row>
    <row r="7" spans="1:11" ht="45" customHeight="1">
      <c r="A7" s="4" t="s">
        <v>120</v>
      </c>
      <c r="B7" s="4"/>
      <c r="C7" s="8" t="s">
        <v>67</v>
      </c>
      <c r="D7" s="8" t="s">
        <v>67</v>
      </c>
      <c r="E7" s="4"/>
      <c r="F7" s="4"/>
      <c r="G7" s="6" t="str">
        <f>IF(A7="No","NOT USED",IF(AND(A7="Yes",B7&lt;&gt;"",C7="☑",D7="☑",E7&lt;&gt;""),"OK","MISSING"))</f>
        <v>NOT USED</v>
      </c>
    </row>
    <row r="8" spans="1:11" ht="45" customHeight="1">
      <c r="A8" s="4" t="s">
        <v>120</v>
      </c>
      <c r="B8" s="4"/>
      <c r="C8" s="8" t="s">
        <v>67</v>
      </c>
      <c r="D8" s="8" t="s">
        <v>67</v>
      </c>
      <c r="E8" s="4"/>
      <c r="F8" s="4"/>
      <c r="G8" s="6" t="str">
        <f>IF(A8="No","NOT USED",IF(AND(A8="Yes",B8&lt;&gt;"",C8="☑",D8="☑",E8&lt;&gt;""),"OK","MISSING"))</f>
        <v>NOT USED</v>
      </c>
    </row>
    <row r="9" spans="1:11" ht="45" customHeight="1">
      <c r="A9" s="4" t="s">
        <v>120</v>
      </c>
      <c r="B9" s="4"/>
      <c r="C9" s="8" t="s">
        <v>67</v>
      </c>
      <c r="D9" s="8" t="s">
        <v>67</v>
      </c>
      <c r="E9" s="4"/>
      <c r="F9" s="4"/>
      <c r="G9" s="6" t="str">
        <f>IF(A9="No","NOT USED",IF(AND(A9="Yes",B9&lt;&gt;"",C9="☑",D9="☑",E9&lt;&gt;""),"OK","MISSING"))</f>
        <v>NOT USED</v>
      </c>
    </row>
    <row r="10" spans="1:11" ht="45" customHeight="1">
      <c r="A10" s="4" t="s">
        <v>120</v>
      </c>
      <c r="B10" s="4"/>
      <c r="C10" s="8" t="s">
        <v>67</v>
      </c>
      <c r="D10" s="8" t="s">
        <v>67</v>
      </c>
      <c r="E10" s="4"/>
      <c r="F10" s="4"/>
      <c r="G10" s="6" t="str">
        <f>IF(A10="No","NOT USED",IF(AND(A10="Yes",B10&lt;&gt;"",C10="☑",D10="☑",E10&lt;&gt;""),"OK","MISSING"))</f>
        <v>NOT USED</v>
      </c>
    </row>
    <row r="11" spans="1:11" ht="45" customHeight="1">
      <c r="A11" s="4" t="s">
        <v>120</v>
      </c>
      <c r="B11" s="4"/>
      <c r="C11" s="8" t="s">
        <v>67</v>
      </c>
      <c r="D11" s="8" t="s">
        <v>67</v>
      </c>
      <c r="E11" s="4"/>
      <c r="F11" s="4"/>
      <c r="G11" s="6" t="str">
        <f>IF(A11="No","NOT USED",IF(AND(A11="Yes",B11&lt;&gt;"",C11="☑",D11="☑",E11&lt;&gt;""),"OK","MISSING"))</f>
        <v>NOT USED</v>
      </c>
    </row>
    <row r="12" spans="1:11" ht="45" customHeight="1">
      <c r="A12" s="4" t="s">
        <v>120</v>
      </c>
      <c r="B12" s="4"/>
      <c r="C12" s="8" t="s">
        <v>67</v>
      </c>
      <c r="D12" s="8" t="s">
        <v>67</v>
      </c>
      <c r="E12" s="4"/>
      <c r="F12" s="4"/>
      <c r="G12" s="6" t="str">
        <f>IF(A12="No","NOT USED",IF(AND(A12="Yes",B12&lt;&gt;"",C12="☑",D12="☑",E12&lt;&gt;""),"OK","MISSING"))</f>
        <v>NOT USED</v>
      </c>
    </row>
    <row r="13" spans="1:11" ht="45" customHeight="1">
      <c r="A13" s="4" t="s">
        <v>120</v>
      </c>
      <c r="B13" s="4"/>
      <c r="C13" s="8" t="s">
        <v>67</v>
      </c>
      <c r="D13" s="8" t="s">
        <v>67</v>
      </c>
      <c r="E13" s="4"/>
      <c r="F13" s="4"/>
      <c r="G13" s="6" t="str">
        <f>IF(A13="No","NOT USED",IF(AND(A13="Yes",B13&lt;&gt;"",C13="☑",D13="☑",E13&lt;&gt;""),"OK","MISSING"))</f>
        <v>NOT USED</v>
      </c>
    </row>
    <row r="14" spans="1:11" ht="45" customHeight="1">
      <c r="A14" s="4" t="s">
        <v>120</v>
      </c>
      <c r="B14" s="4"/>
      <c r="C14" s="8" t="s">
        <v>67</v>
      </c>
      <c r="D14" s="8" t="s">
        <v>67</v>
      </c>
      <c r="E14" s="4"/>
      <c r="F14" s="4"/>
      <c r="G14" s="6" t="str">
        <f>IF(A14="No","NOT USED",IF(AND(A14="Yes",B14&lt;&gt;"",C14="☑",D14="☑",E14&lt;&gt;""),"OK","MISSING"))</f>
        <v>NOT USED</v>
      </c>
    </row>
    <row r="15" spans="1:11" ht="45" customHeight="1">
      <c r="A15" s="4" t="s">
        <v>120</v>
      </c>
      <c r="B15" s="4"/>
      <c r="C15" s="8" t="s">
        <v>67</v>
      </c>
      <c r="D15" s="8" t="s">
        <v>67</v>
      </c>
      <c r="E15" s="4"/>
      <c r="F15" s="4"/>
      <c r="G15" s="6" t="str">
        <f>IF(A15="No","NOT USED",IF(AND(A15="Yes",B15&lt;&gt;"",C15="☑",D15="☑",E15&lt;&gt;""),"OK","MISSING"))</f>
        <v>NOT USED</v>
      </c>
    </row>
  </sheetData>
  <sheetProtection sheet="1" objects="1" scenarios="1" sort="0" autoFilter="0"/>
  <mergeCells count="2">
    <mergeCell ref="A1:K2"/>
    <mergeCell ref="A3:K4"/>
  </mergeCells>
  <conditionalFormatting sqref="G6:G15">
    <cfRule type="containsText" dxfId="0" priority="1" operator="containsText" text="OK">
      <formula>NOT(ISERROR(SEARCH("OK",G6)))</formula>
    </cfRule>
    <cfRule type="containsText" dxfId="1" priority="2" operator="containsText" text="MISSING">
      <formula>NOT(ISERROR(SEARCH("MISSING",G6)))</formula>
    </cfRule>
  </conditionalFormatting>
  <dataValidations count="30">
    <dataValidation type="list" allowBlank="1" showInputMessage="1" showErrorMessage="1" sqref="A6">
      <formula1>"No,Yes"</formula1>
    </dataValidation>
    <dataValidation type="list" allowBlank="1" showInputMessage="1" showErrorMessage="1" errorTitle="Choose a tick" error="Choose ☐ or ☑ from the dropdown." sqref="C6">
      <formula1>"☐,☑"</formula1>
    </dataValidation>
    <dataValidation type="list" allowBlank="1" showInputMessage="1" showErrorMessage="1" errorTitle="Choose a tick" error="Choose ☐ or ☑ from the dropdown." sqref="D6">
      <formula1>"☐,☑"</formula1>
    </dataValidation>
    <dataValidation type="list" allowBlank="1" showInputMessage="1" showErrorMessage="1" sqref="A7">
      <formula1>"No,Yes"</formula1>
    </dataValidation>
    <dataValidation type="list" allowBlank="1" showInputMessage="1" showErrorMessage="1" errorTitle="Choose a tick" error="Choose ☐ or ☑ from the dropdown." sqref="C7">
      <formula1>"☐,☑"</formula1>
    </dataValidation>
    <dataValidation type="list" allowBlank="1" showInputMessage="1" showErrorMessage="1" errorTitle="Choose a tick" error="Choose ☐ or ☑ from the dropdown." sqref="D7">
      <formula1>"☐,☑"</formula1>
    </dataValidation>
    <dataValidation type="list" allowBlank="1" showInputMessage="1" showErrorMessage="1" sqref="A8">
      <formula1>"No,Yes"</formula1>
    </dataValidation>
    <dataValidation type="list" allowBlank="1" showInputMessage="1" showErrorMessage="1" errorTitle="Choose a tick" error="Choose ☐ or ☑ from the dropdown." sqref="C8">
      <formula1>"☐,☑"</formula1>
    </dataValidation>
    <dataValidation type="list" allowBlank="1" showInputMessage="1" showErrorMessage="1" errorTitle="Choose a tick" error="Choose ☐ or ☑ from the dropdown." sqref="D8">
      <formula1>"☐,☑"</formula1>
    </dataValidation>
    <dataValidation type="list" allowBlank="1" showInputMessage="1" showErrorMessage="1" sqref="A9">
      <formula1>"No,Yes"</formula1>
    </dataValidation>
    <dataValidation type="list" allowBlank="1" showInputMessage="1" showErrorMessage="1" errorTitle="Choose a tick" error="Choose ☐ or ☑ from the dropdown." sqref="C9">
      <formula1>"☐,☑"</formula1>
    </dataValidation>
    <dataValidation type="list" allowBlank="1" showInputMessage="1" showErrorMessage="1" errorTitle="Choose a tick" error="Choose ☐ or ☑ from the dropdown." sqref="D9">
      <formula1>"☐,☑"</formula1>
    </dataValidation>
    <dataValidation type="list" allowBlank="1" showInputMessage="1" showErrorMessage="1" sqref="A10">
      <formula1>"No,Yes"</formula1>
    </dataValidation>
    <dataValidation type="list" allowBlank="1" showInputMessage="1" showErrorMessage="1" errorTitle="Choose a tick" error="Choose ☐ or ☑ from the dropdown." sqref="C10">
      <formula1>"☐,☑"</formula1>
    </dataValidation>
    <dataValidation type="list" allowBlank="1" showInputMessage="1" showErrorMessage="1" errorTitle="Choose a tick" error="Choose ☐ or ☑ from the dropdown." sqref="D10">
      <formula1>"☐,☑"</formula1>
    </dataValidation>
    <dataValidation type="list" allowBlank="1" showInputMessage="1" showErrorMessage="1" sqref="A11">
      <formula1>"No,Yes"</formula1>
    </dataValidation>
    <dataValidation type="list" allowBlank="1" showInputMessage="1" showErrorMessage="1" errorTitle="Choose a tick" error="Choose ☐ or ☑ from the dropdown." sqref="C11">
      <formula1>"☐,☑"</formula1>
    </dataValidation>
    <dataValidation type="list" allowBlank="1" showInputMessage="1" showErrorMessage="1" errorTitle="Choose a tick" error="Choose ☐ or ☑ from the dropdown." sqref="D11">
      <formula1>"☐,☑"</formula1>
    </dataValidation>
    <dataValidation type="list" allowBlank="1" showInputMessage="1" showErrorMessage="1" sqref="A12">
      <formula1>"No,Yes"</formula1>
    </dataValidation>
    <dataValidation type="list" allowBlank="1" showInputMessage="1" showErrorMessage="1" errorTitle="Choose a tick" error="Choose ☐ or ☑ from the dropdown." sqref="C12">
      <formula1>"☐,☑"</formula1>
    </dataValidation>
    <dataValidation type="list" allowBlank="1" showInputMessage="1" showErrorMessage="1" errorTitle="Choose a tick" error="Choose ☐ or ☑ from the dropdown." sqref="D12">
      <formula1>"☐,☑"</formula1>
    </dataValidation>
    <dataValidation type="list" allowBlank="1" showInputMessage="1" showErrorMessage="1" sqref="A13">
      <formula1>"No,Yes"</formula1>
    </dataValidation>
    <dataValidation type="list" allowBlank="1" showInputMessage="1" showErrorMessage="1" errorTitle="Choose a tick" error="Choose ☐ or ☑ from the dropdown." sqref="C13">
      <formula1>"☐,☑"</formula1>
    </dataValidation>
    <dataValidation type="list" allowBlank="1" showInputMessage="1" showErrorMessage="1" errorTitle="Choose a tick" error="Choose ☐ or ☑ from the dropdown." sqref="D13">
      <formula1>"☐,☑"</formula1>
    </dataValidation>
    <dataValidation type="list" allowBlank="1" showInputMessage="1" showErrorMessage="1" sqref="A14">
      <formula1>"No,Yes"</formula1>
    </dataValidation>
    <dataValidation type="list" allowBlank="1" showInputMessage="1" showErrorMessage="1" errorTitle="Choose a tick" error="Choose ☐ or ☑ from the dropdown." sqref="C14">
      <formula1>"☐,☑"</formula1>
    </dataValidation>
    <dataValidation type="list" allowBlank="1" showInputMessage="1" showErrorMessage="1" errorTitle="Choose a tick" error="Choose ☐ or ☑ from the dropdown." sqref="D14">
      <formula1>"☐,☑"</formula1>
    </dataValidation>
    <dataValidation type="list" allowBlank="1" showInputMessage="1" showErrorMessage="1" sqref="A15">
      <formula1>"No,Yes"</formula1>
    </dataValidation>
    <dataValidation type="list" allowBlank="1" showInputMessage="1" showErrorMessage="1" errorTitle="Choose a tick" error="Choose ☐ or ☑ from the dropdown." sqref="C15">
      <formula1>"☐,☑"</formula1>
    </dataValidation>
    <dataValidation type="list" allowBlank="1" showInputMessage="1" showErrorMessage="1" errorTitle="Choose a tick" error="Choose ☐ or ☑ from the dropdown." sqref="D15">
      <formula1>"☐,☑"</formula1>
    </dataValidation>
  </dataValidations>
  <pageMargins left="0.3" right="0.3" top="0.4" bottom="0.4" header="0.3" footer="0.3"/>
  <pageSetup paperSize="9" fitToHeight="0" orientation="landscape"/>
  <headerFooter>
    <oddFooter>&amp;L Irish naturalisation tracker &amp;R Page &amp;P of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K16"/>
  <sheetViews>
    <sheetView showGridLines="0" workbookViewId="0">
      <pane ySplit="5" topLeftCell="A6" activePane="bottomLeft" state="frozen"/>
      <selection pane="bottomLeft"/>
    </sheetView>
  </sheetViews>
  <sheetFormatPr defaultRowHeight="27" customHeight="1"/>
  <cols>
    <col min="1" max="1" width="8.7109375" customWidth="1"/>
    <col min="2" max="2" width="43.7109375" customWidth="1"/>
    <col min="3" max="11" width="12.7109375" customWidth="1"/>
  </cols>
  <sheetData>
    <row r="1" spans="1:11" ht="24" customHeight="1">
      <c r="A1" s="1" t="s">
        <v>6</v>
      </c>
      <c r="B1" s="1"/>
      <c r="C1" s="1"/>
      <c r="D1" s="1"/>
      <c r="E1" s="1"/>
      <c r="F1" s="1"/>
      <c r="G1" s="1"/>
      <c r="H1" s="1"/>
      <c r="I1" s="1"/>
      <c r="J1" s="1"/>
      <c r="K1" s="1"/>
    </row>
    <row r="2" spans="1:11" ht="18" customHeight="1">
      <c r="A2" s="1"/>
      <c r="B2" s="1"/>
      <c r="C2" s="1"/>
      <c r="D2" s="1"/>
      <c r="E2" s="1"/>
      <c r="F2" s="1"/>
      <c r="G2" s="1"/>
      <c r="H2" s="1"/>
      <c r="I2" s="1"/>
      <c r="J2" s="1"/>
      <c r="K2" s="1"/>
    </row>
    <row r="3" spans="1:11" ht="27" customHeight="1">
      <c r="A3" s="3" t="s">
        <v>181</v>
      </c>
      <c r="B3" s="3"/>
      <c r="C3" s="3"/>
      <c r="D3" s="3"/>
      <c r="E3" s="3"/>
      <c r="F3" s="3"/>
      <c r="G3" s="3"/>
      <c r="H3" s="3"/>
      <c r="I3" s="3"/>
      <c r="J3" s="3"/>
      <c r="K3" s="3"/>
    </row>
    <row r="4" spans="1:11" ht="27" customHeight="1">
      <c r="A4" s="3"/>
      <c r="B4" s="3"/>
      <c r="C4" s="3"/>
      <c r="D4" s="3"/>
      <c r="E4" s="3"/>
      <c r="F4" s="3"/>
      <c r="G4" s="3"/>
      <c r="H4" s="3"/>
      <c r="I4" s="3"/>
      <c r="J4" s="3"/>
      <c r="K4" s="3"/>
    </row>
    <row r="6" spans="1:11" ht="43" customHeight="1">
      <c r="B6" s="5" t="s">
        <v>182</v>
      </c>
      <c r="C6" s="9" t="s">
        <v>183</v>
      </c>
      <c r="D6" s="9"/>
      <c r="E6" s="9"/>
      <c r="F6" s="9"/>
      <c r="G6" s="9"/>
      <c r="H6" s="9"/>
      <c r="I6" s="9"/>
      <c r="J6" s="9"/>
      <c r="K6" s="9"/>
    </row>
    <row r="7" spans="1:11" ht="43" customHeight="1">
      <c r="B7" s="5" t="s">
        <v>184</v>
      </c>
      <c r="C7" s="9" t="s">
        <v>185</v>
      </c>
      <c r="D7" s="9"/>
      <c r="E7" s="9"/>
      <c r="F7" s="9"/>
      <c r="G7" s="9"/>
      <c r="H7" s="9"/>
      <c r="I7" s="9"/>
      <c r="J7" s="9"/>
      <c r="K7" s="9"/>
    </row>
    <row r="8" spans="1:11" ht="43" customHeight="1">
      <c r="B8" s="5" t="s">
        <v>186</v>
      </c>
      <c r="C8" s="9" t="s">
        <v>187</v>
      </c>
      <c r="D8" s="9"/>
      <c r="E8" s="9"/>
      <c r="F8" s="9"/>
      <c r="G8" s="9"/>
      <c r="H8" s="9"/>
      <c r="I8" s="9"/>
      <c r="J8" s="9"/>
      <c r="K8" s="9"/>
    </row>
    <row r="9" spans="1:11" ht="43" customHeight="1">
      <c r="B9" s="5" t="s">
        <v>188</v>
      </c>
      <c r="C9" s="9" t="s">
        <v>189</v>
      </c>
      <c r="D9" s="9"/>
      <c r="E9" s="9"/>
      <c r="F9" s="9"/>
      <c r="G9" s="9"/>
      <c r="H9" s="9"/>
      <c r="I9" s="9"/>
      <c r="J9" s="9"/>
      <c r="K9" s="9"/>
    </row>
    <row r="10" spans="1:11" ht="43" customHeight="1">
      <c r="B10" s="5" t="s">
        <v>190</v>
      </c>
      <c r="C10" s="9" t="s">
        <v>191</v>
      </c>
      <c r="D10" s="9"/>
      <c r="E10" s="9"/>
      <c r="F10" s="9"/>
      <c r="G10" s="9"/>
      <c r="H10" s="9"/>
      <c r="I10" s="9"/>
      <c r="J10" s="9"/>
      <c r="K10" s="9"/>
    </row>
    <row r="11" spans="1:11" ht="43" customHeight="1">
      <c r="B11" s="5" t="s">
        <v>192</v>
      </c>
      <c r="C11" s="9" t="s">
        <v>193</v>
      </c>
      <c r="D11" s="9"/>
      <c r="E11" s="9"/>
      <c r="F11" s="9"/>
      <c r="G11" s="9"/>
      <c r="H11" s="9"/>
      <c r="I11" s="9"/>
      <c r="J11" s="9"/>
      <c r="K11" s="9"/>
    </row>
    <row r="12" spans="1:11" ht="43" customHeight="1">
      <c r="B12" s="5" t="s">
        <v>194</v>
      </c>
      <c r="C12" s="9" t="s">
        <v>195</v>
      </c>
      <c r="D12" s="9"/>
      <c r="E12" s="9"/>
      <c r="F12" s="9"/>
      <c r="G12" s="9"/>
      <c r="H12" s="9"/>
      <c r="I12" s="9"/>
      <c r="J12" s="9"/>
      <c r="K12" s="9"/>
    </row>
    <row r="13" spans="1:11" ht="43" customHeight="1">
      <c r="B13" s="5" t="s">
        <v>196</v>
      </c>
      <c r="C13" s="9" t="s">
        <v>197</v>
      </c>
      <c r="D13" s="9"/>
      <c r="E13" s="9"/>
      <c r="F13" s="9"/>
      <c r="G13" s="9"/>
      <c r="H13" s="9"/>
      <c r="I13" s="9"/>
      <c r="J13" s="9"/>
      <c r="K13" s="9"/>
    </row>
    <row r="14" spans="1:11" ht="43" customHeight="1">
      <c r="B14" s="5" t="s">
        <v>198</v>
      </c>
      <c r="C14" s="9" t="s">
        <v>199</v>
      </c>
      <c r="D14" s="9"/>
      <c r="E14" s="9"/>
      <c r="F14" s="9"/>
      <c r="G14" s="9"/>
      <c r="H14" s="9"/>
      <c r="I14" s="9"/>
      <c r="J14" s="9"/>
      <c r="K14" s="9"/>
    </row>
    <row r="15" spans="1:11" ht="43" customHeight="1">
      <c r="B15" s="5" t="s">
        <v>200</v>
      </c>
      <c r="C15" s="9" t="s">
        <v>201</v>
      </c>
      <c r="D15" s="9"/>
      <c r="E15" s="9"/>
      <c r="F15" s="9"/>
      <c r="G15" s="9"/>
      <c r="H15" s="9"/>
      <c r="I15" s="9"/>
      <c r="J15" s="9"/>
      <c r="K15" s="9"/>
    </row>
    <row r="16" spans="1:11" ht="43" customHeight="1">
      <c r="B16" s="5" t="s">
        <v>202</v>
      </c>
      <c r="C16" s="9" t="s">
        <v>203</v>
      </c>
      <c r="D16" s="9"/>
      <c r="E16" s="9"/>
      <c r="F16" s="9"/>
      <c r="G16" s="9"/>
      <c r="H16" s="9"/>
      <c r="I16" s="9"/>
      <c r="J16" s="9"/>
      <c r="K16" s="9"/>
    </row>
  </sheetData>
  <sheetProtection sheet="1" objects="1" scenarios="1" sort="0" autoFilter="0"/>
  <mergeCells count="13">
    <mergeCell ref="A1:K2"/>
    <mergeCell ref="A3:K4"/>
    <mergeCell ref="C6:K6"/>
    <mergeCell ref="C7:K7"/>
    <mergeCell ref="C8:K8"/>
    <mergeCell ref="C9:K9"/>
    <mergeCell ref="C10:K10"/>
    <mergeCell ref="C11:K11"/>
    <mergeCell ref="C12:K12"/>
    <mergeCell ref="C13:K13"/>
    <mergeCell ref="C14:K14"/>
    <mergeCell ref="C15:K15"/>
    <mergeCell ref="C16:K16"/>
  </mergeCells>
  <hyperlinks>
    <hyperlink ref="C6" r:id="rId1"/>
    <hyperlink ref="C7" r:id="rId2"/>
    <hyperlink ref="C8" r:id="rId3"/>
    <hyperlink ref="C9" r:id="rId4"/>
    <hyperlink ref="C10" r:id="rId5"/>
    <hyperlink ref="C11" r:id="rId6"/>
    <hyperlink ref="C12" r:id="rId7"/>
    <hyperlink ref="C13" r:id="rId8"/>
    <hyperlink ref="C14" r:id="rId9"/>
    <hyperlink ref="C15" r:id="rId10"/>
    <hyperlink ref="C16" r:id="rId11"/>
  </hyperlinks>
  <pageMargins left="0.3" right="0.3" top="0.4" bottom="0.4" header="0.3" footer="0.3"/>
  <pageSetup paperSize="9" fitToHeight="0" orientation="landscape"/>
  <headerFooter>
    <oddFooter>&amp;L Irish naturalisation tracker &amp;R Page &amp;P of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K16"/>
  <sheetViews>
    <sheetView showGridLines="0" workbookViewId="0">
      <pane ySplit="5" topLeftCell="A6" activePane="bottomLeft" state="frozen"/>
      <selection pane="bottomLeft"/>
    </sheetView>
  </sheetViews>
  <sheetFormatPr defaultRowHeight="27" customHeight="1"/>
  <cols>
    <col min="1" max="1" width="8.7109375" customWidth="1"/>
    <col min="2" max="2" width="36.7109375" customWidth="1"/>
    <col min="3" max="11" width="18.7109375" customWidth="1"/>
  </cols>
  <sheetData>
    <row r="1" spans="1:11" ht="24" customHeight="1">
      <c r="A1" s="1" t="s">
        <v>7</v>
      </c>
      <c r="B1" s="1"/>
      <c r="C1" s="1"/>
      <c r="D1" s="1"/>
      <c r="E1" s="1"/>
      <c r="F1" s="1"/>
      <c r="G1" s="1"/>
      <c r="H1" s="1"/>
      <c r="I1" s="1"/>
      <c r="J1" s="1"/>
      <c r="K1" s="1"/>
    </row>
    <row r="2" spans="1:11" ht="18" customHeight="1">
      <c r="A2" s="1"/>
      <c r="B2" s="1"/>
      <c r="C2" s="1"/>
      <c r="D2" s="1"/>
      <c r="E2" s="1"/>
      <c r="F2" s="1"/>
      <c r="G2" s="1"/>
      <c r="H2" s="1"/>
      <c r="I2" s="1"/>
      <c r="J2" s="1"/>
      <c r="K2" s="1"/>
    </row>
    <row r="5" spans="1:11" ht="27" customHeight="1">
      <c r="A5" t="s">
        <v>8</v>
      </c>
      <c r="B5" t="s">
        <v>9</v>
      </c>
      <c r="C5" t="s">
        <v>10</v>
      </c>
    </row>
    <row r="6" spans="1:11" ht="27" customHeight="1">
      <c r="A6" t="s">
        <v>11</v>
      </c>
      <c r="B6">
        <v>100</v>
      </c>
      <c r="C6" t="s">
        <v>12</v>
      </c>
    </row>
    <row r="7" spans="1:11" ht="27" customHeight="1">
      <c r="A7" t="s">
        <v>13</v>
      </c>
      <c r="B7">
        <v>100</v>
      </c>
      <c r="C7" t="s">
        <v>12</v>
      </c>
    </row>
    <row r="8" spans="1:11" ht="27" customHeight="1">
      <c r="A8" t="s">
        <v>14</v>
      </c>
      <c r="B8">
        <v>100</v>
      </c>
      <c r="C8" t="s">
        <v>12</v>
      </c>
    </row>
    <row r="9" spans="1:11" ht="27" customHeight="1">
      <c r="A9" t="s">
        <v>15</v>
      </c>
      <c r="B9">
        <v>100</v>
      </c>
      <c r="C9" t="s">
        <v>12</v>
      </c>
    </row>
    <row r="10" spans="1:11" ht="27" customHeight="1">
      <c r="A10" t="s">
        <v>16</v>
      </c>
      <c r="B10">
        <v>100</v>
      </c>
      <c r="C10" t="s">
        <v>12</v>
      </c>
    </row>
    <row r="11" spans="1:11" ht="27" customHeight="1">
      <c r="A11" t="s">
        <v>17</v>
      </c>
      <c r="B11">
        <v>50</v>
      </c>
      <c r="C11" t="s">
        <v>18</v>
      </c>
    </row>
    <row r="12" spans="1:11" ht="27" customHeight="1">
      <c r="A12" t="s">
        <v>19</v>
      </c>
      <c r="B12">
        <v>50</v>
      </c>
      <c r="C12" t="s">
        <v>18</v>
      </c>
    </row>
    <row r="13" spans="1:11" ht="27" customHeight="1">
      <c r="A13" t="s">
        <v>20</v>
      </c>
      <c r="B13">
        <v>50</v>
      </c>
      <c r="C13" t="s">
        <v>18</v>
      </c>
    </row>
    <row r="14" spans="1:11" ht="27" customHeight="1">
      <c r="A14" t="s">
        <v>21</v>
      </c>
      <c r="B14">
        <v>50</v>
      </c>
      <c r="C14" t="s">
        <v>18</v>
      </c>
    </row>
    <row r="15" spans="1:11" ht="27" customHeight="1">
      <c r="A15" t="s">
        <v>22</v>
      </c>
      <c r="B15">
        <v>50</v>
      </c>
      <c r="C15" t="s">
        <v>18</v>
      </c>
    </row>
    <row r="16" spans="1:11" ht="27" customHeight="1">
      <c r="A16" t="s">
        <v>23</v>
      </c>
      <c r="B16">
        <v>50</v>
      </c>
      <c r="C16" t="s">
        <v>18</v>
      </c>
    </row>
  </sheetData>
  <sheetProtection sheet="1" objects="1" scenarios="1" sort="0" autoFilter="0"/>
  <mergeCells count="1">
    <mergeCell ref="A1:K2"/>
  </mergeCells>
  <pageMargins left="0.3" right="0.3" top="0.4" bottom="0.4" header="0.3" footer="0.3"/>
  <pageSetup paperSize="9" fitToHeight="0" orientation="landscape"/>
  <headerFooter>
    <oddFooter>&amp;L Irish naturalisation tracker &amp;R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Start here</vt:lpstr>
      <vt:lpstr>Dashboard</vt:lpstr>
      <vt:lpstr>Identity</vt:lpstr>
      <vt:lpstr>Residence</vt:lpstr>
      <vt:lpstr>Documents</vt:lpstr>
      <vt:lpstr>Extra requests</vt:lpstr>
      <vt:lpstr>Sources</vt:lpstr>
      <vt:lpstr>Lists</vt:lpstr>
      <vt:lpstr>Dashboard!Print_Area</vt:lpstr>
      <vt:lpstr>Documents!Print_Area</vt:lpstr>
      <vt:lpstr>'Extra requests'!Print_Area</vt:lpstr>
      <vt:lpstr>Identity!Print_Area</vt:lpstr>
      <vt:lpstr>Residence!Print_Area</vt:lpstr>
      <vt:lpstr>'Start here'!Print_Area</vt:lpstr>
      <vt:lpstr>Documents!Print_Titles</vt:lpstr>
      <vt:lpstr>Residence!Print_Titles</vt:lpstr>
      <vt:lpstr>ResidenceTypes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2026-10-15T09:37:44Z</dcterms:created>
  <dcterms:modified xsi:type="dcterms:W3CDTF">2026-10-15T09:37:44Z</dcterms:modified>
</cp:coreProperties>
</file>